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dermore-my.sharepoint.com/personal/mark_thompson_aldermore_co_uk/Documents/"/>
    </mc:Choice>
  </mc:AlternateContent>
  <xr:revisionPtr revIDLastSave="0" documentId="8_{DF6D06C1-DC03-46A2-BD53-23866561DF55}" xr6:coauthVersionLast="47" xr6:coauthVersionMax="47" xr10:uidLastSave="{00000000-0000-0000-0000-000000000000}"/>
  <bookViews>
    <workbookView xWindow="28680" yWindow="-120" windowWidth="29040" windowHeight="17520" firstSheet="1" activeTab="5" xr2:uid="{FA41FCEA-D69C-497D-AB18-8AC23B9B855E}"/>
  </bookViews>
  <sheets>
    <sheet name="Passenger Cars - Manual" sheetId="1" r:id="rId1"/>
    <sheet name="Passenger Cars Automatic" sheetId="2" r:id="rId2"/>
    <sheet name="Estates and MPV's" sheetId="3" r:id="rId3"/>
    <sheet name="Cross Overs and SUV's" sheetId="4" r:id="rId4"/>
    <sheet name="Pick-Ups" sheetId="5" r:id="rId5"/>
    <sheet name="Total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171" i="5"/>
  <c r="D171" i="5"/>
  <c r="C172" i="5"/>
  <c r="D172" i="5"/>
  <c r="C173" i="5"/>
  <c r="D173" i="5"/>
  <c r="C174" i="5"/>
  <c r="D174" i="5"/>
  <c r="C175" i="5"/>
  <c r="D175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D2" i="5"/>
  <c r="C2" i="5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D2" i="4"/>
  <c r="C2" i="4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D2" i="3"/>
  <c r="C2" i="3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D2" i="2"/>
  <c r="C2" i="2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</calcChain>
</file>

<file path=xl/sharedStrings.xml><?xml version="1.0" encoding="utf-8"?>
<sst xmlns="http://schemas.openxmlformats.org/spreadsheetml/2006/main" count="1335" uniqueCount="1315">
  <si>
    <t>Suzuki S-Presso 1.0 GLR 162 900</t>
  </si>
  <si>
    <t>Suzuki S-Presso 1.0 GL+R 169 900</t>
  </si>
  <si>
    <t>Suzuki Celerio 1.0 GAR 178 900</t>
  </si>
  <si>
    <t>Renault Kwid 1.0 LifeR 180 999</t>
  </si>
  <si>
    <t>Suzuki S-Presso 1.0 S-EditionR 185 900</t>
  </si>
  <si>
    <t>Renault Kwid 1.0 ZenR 190 999</t>
  </si>
  <si>
    <t>Suzuki DZire 1.2 GAR 193 900</t>
  </si>
  <si>
    <t>Suzuki Swift 1.2 GAR 194 900</t>
  </si>
  <si>
    <t>Suzuki Celerio 1.0 GLR 198 900</t>
  </si>
  <si>
    <t>Hyundai Atos 1.1 MotionR 199 900</t>
  </si>
  <si>
    <t>Toyota Agya 1.0R 200 000</t>
  </si>
  <si>
    <t>Renault Kwid 1.0 ClimberR 201 999</t>
  </si>
  <si>
    <t>Kia Picanto 1.0 StartR 209 995</t>
  </si>
  <si>
    <t>Suzuki DZire 1.2 GLR 211 900</t>
  </si>
  <si>
    <t>Suzuki Swift 1.2 GLR 212 900</t>
  </si>
  <si>
    <t>Hyundai Grand i10 1.0 MotionR 214 900</t>
  </si>
  <si>
    <t>Kia Picanto 1.0 StreetR 223 995</t>
  </si>
  <si>
    <t>Honda Amaze 1.2 TrendR 231 200</t>
  </si>
  <si>
    <t>Suzuki Baleno 1.5 GLR 231 900</t>
  </si>
  <si>
    <t>Suzuki Swift 1.2 GLXR 232 900</t>
  </si>
  <si>
    <t>Kia Picanto 1.2 StreetR 232 995</t>
  </si>
  <si>
    <t>Toyota Starlet 1.5 XiR 233 000</t>
  </si>
  <si>
    <t>Kia Picanto 1.0 StyleR 233 995</t>
  </si>
  <si>
    <t>Kia Picanto 1.2 StyleR 242 995</t>
  </si>
  <si>
    <t>Toyota Starlet 1.5 XSR 246 300</t>
  </si>
  <si>
    <t>Hyundai Grand i10 1.0 FluidR 246 900</t>
  </si>
  <si>
    <t>Volkswagen Polo Vivo 1.4 TrendlineR 247 300</t>
  </si>
  <si>
    <t>Honda Amaze 1.2 ComfortR 247 800</t>
  </si>
  <si>
    <t>Kia Pegas 1.4 LXR 254 995</t>
  </si>
  <si>
    <t>Suzuki Ciaz 1.5 GLR 256 900</t>
  </si>
  <si>
    <t>Kia Picanto 1.2 X-LineR 259 995</t>
  </si>
  <si>
    <t>Hyundai Grand i10 1.2 FluidR 261 900</t>
  </si>
  <si>
    <t>Kia Pegas 1.4 EXR 265 995</t>
  </si>
  <si>
    <t>Volkswagen Polo Vivo 1.4 ComfortlineR 266 900</t>
  </si>
  <si>
    <t>Suzuki Baleno 1.5 GLXR 281 900</t>
  </si>
  <si>
    <t>Nissan Almera 1.5 AcentaR 291 900</t>
  </si>
  <si>
    <t>Toyota Starlet 1.5 XRR 294 900</t>
  </si>
  <si>
    <t>Volkswagen Polo Vivo 1.6 HighlineR 296 000</t>
  </si>
  <si>
    <t>Suzuki Ciaz 1.5 GLXR 296 900</t>
  </si>
  <si>
    <t>Kia Rio 1.2 LSR 299 995</t>
  </si>
  <si>
    <t>Mazda Mazda2 1.5 ActiveR 302 300</t>
  </si>
  <si>
    <t>Hyundai i20 1.2 MotionR 304 900</t>
  </si>
  <si>
    <t>Citroën C3 1.2 FeelR 305 900</t>
  </si>
  <si>
    <t>Toyota Corolla Quest 1.8 PlusR 307 400</t>
  </si>
  <si>
    <t>Renault Clio 1.0 Turbo LifeR 309 999</t>
  </si>
  <si>
    <t>Kia Rio 1.4 LSR 313 995</t>
  </si>
  <si>
    <t>Hyundai i20 1.2 FluidR 319 900</t>
  </si>
  <si>
    <t>Renault Clio 1.0 Turbo ZenR 324 999</t>
  </si>
  <si>
    <t>Opel Corsa 1.2R 325 900</t>
  </si>
  <si>
    <t>Fiat Tipo Sedan 1.4R 327 900</t>
  </si>
  <si>
    <t>Kia Rio 1.4 LXR 328 995</t>
  </si>
  <si>
    <t>Peugeot 208 1.2 ActiveR 329 900</t>
  </si>
  <si>
    <t>Mazda Mazda2 1.5 DynamicR 330 200</t>
  </si>
  <si>
    <t>Volkswagen Polo Sedan 1.6R 332 400</t>
  </si>
  <si>
    <t>Volkswagen Polo Vivo 1.0TSI GTR 332 800</t>
  </si>
  <si>
    <t>Volkswagen Polo Hatch 1.0TSI 70kWR 334 400</t>
  </si>
  <si>
    <t>Kia Rio 1.4 EXR 341 995</t>
  </si>
  <si>
    <t>Toyota Corolla Quest 1.8 PrestigeR 348 400</t>
  </si>
  <si>
    <t>Opel Corsa 1.2T EditionR 356 900</t>
  </si>
  <si>
    <t>Mazda Mazda2 1.5 IndividualR 358 700</t>
  </si>
  <si>
    <t>Volkswagen Polo Sedan 1.6 LifeR 360 900</t>
  </si>
  <si>
    <t>Hyundai i20 1.0T FluidR 362 900</t>
  </si>
  <si>
    <t>Renault Clio 1.0 Turbo IntensR 364 999</t>
  </si>
  <si>
    <t>Kia Rio 1.4 TecR 366 995</t>
  </si>
  <si>
    <t>Toyota Corolla Quest 1.8 ExclusiveR 367 500</t>
  </si>
  <si>
    <t>Volkswagen Polo Hatch 1.0TSI 70kW LifeR 375 400</t>
  </si>
  <si>
    <t>Peugeot 208 1.2T AllureR 379 900</t>
  </si>
  <si>
    <t>Fiat Tipo Hatch 1.4 City LifeR 390 900</t>
  </si>
  <si>
    <t>Suzuki Swift 1.4T SportR 392 900</t>
  </si>
  <si>
    <t>Fiat Tipo Sedan 1.4 City LifeR 404 900</t>
  </si>
  <si>
    <t>Abarth 500 595 turismo 1.4TR 409 900</t>
  </si>
  <si>
    <t>Mazda Mazda3 Hatch 1.5 ActiveR 421 900</t>
  </si>
  <si>
    <t>Fiat Tipo Hatch 1.4 LifeR 430 900</t>
  </si>
  <si>
    <t>Mazda Mazda3 Hatch 1.5 DynamicR 438 600</t>
  </si>
  <si>
    <t>Abarth 500 595 competizione 1.4TR 491 900</t>
  </si>
  <si>
    <t>Mazda Mazda3 Hatch 1.5 IndividualR 494 000</t>
  </si>
  <si>
    <t>Abarth 500 595 Monster Energy Yamaha CabrioletR 509 900</t>
  </si>
  <si>
    <t>Toyota GR86R 712 100</t>
  </si>
  <si>
    <t>Toyota GR Yaris 1.6T GR-Four RallyR 791 900</t>
  </si>
  <si>
    <t>Subaru WRX 2.4TR 799 000</t>
  </si>
  <si>
    <t>Honda Civic Type RR 857 500</t>
  </si>
  <si>
    <t>Ford Mustang 5.0 Mach 1 FastbackR 1 210 000</t>
  </si>
  <si>
    <t>BMW M2 CoupéR 1 513 689</t>
  </si>
  <si>
    <t>Porsche 718 Cayman GTS 4.0R 1 549 000</t>
  </si>
  <si>
    <t>Porsche 718 Boxster GTS 4.0R 1 589 000</t>
  </si>
  <si>
    <t>Porsche 718 SpyderR 1 839 000</t>
  </si>
  <si>
    <t>Porsche 718 Cayman GT4R 1 919 000</t>
  </si>
  <si>
    <t>Porsche 911 Carrera TR 2 080 000</t>
  </si>
  <si>
    <t>Porsche 911 Carrera GTS CoupéR 2 449 000</t>
  </si>
  <si>
    <t>Porsche 911 Carrera GTS CabrioletR 2 679 000</t>
  </si>
  <si>
    <t>Porsche 911 GT3R 3 349 000</t>
  </si>
  <si>
    <t>Porsche 911 Sport ClassicR 5 169 000</t>
  </si>
  <si>
    <t>Combined Extraction</t>
  </si>
  <si>
    <t>Price</t>
  </si>
  <si>
    <t>Vehicle Make / Model</t>
  </si>
  <si>
    <t>Suzuki S-Presso 1.0 GLR 176 900</t>
  </si>
  <si>
    <t>Suzuki S-Presso 1.0 GL+R 183 900</t>
  </si>
  <si>
    <t>Suzuki S-Presso 1.0 S-EditionR 199 900</t>
  </si>
  <si>
    <t>Renault Kwid 1.0 ZenR 200 999</t>
  </si>
  <si>
    <t>Hyundai Atos 1.1 MotionR 209 900</t>
  </si>
  <si>
    <t>Renault Kwid 1.0 ClimberR 211 999</t>
  </si>
  <si>
    <t>Suzuki Celerio 1.0 GLR 213 900</t>
  </si>
  <si>
    <t>Toyota Agya 1.0R 215 600</t>
  </si>
  <si>
    <t>Kia Picanto 1.0 StartR 223 995</t>
  </si>
  <si>
    <t>Suzuki DZire 1.2 GLR 226 900</t>
  </si>
  <si>
    <t>Suzuki Swift 1.2 GLR 227 900</t>
  </si>
  <si>
    <t>Kia Picanto 1.0 StreetR 237 995</t>
  </si>
  <si>
    <t>Hyundai Grand i10 1.0 MotionR 242 900</t>
  </si>
  <si>
    <t>Kia Picanto 1.2 StreetR 246 995</t>
  </si>
  <si>
    <t>Kia Picanto 1.0 StyleR 247 995</t>
  </si>
  <si>
    <t>Suzuki Swift 1.2 GLXR 248 900</t>
  </si>
  <si>
    <t>Fiat 500 TwinAir CultR 249 900</t>
  </si>
  <si>
    <t>Suzuki Baleno 1.5 GLR 251 900</t>
  </si>
  <si>
    <t>Kia Picanto 1.2 StyleR 256 995</t>
  </si>
  <si>
    <t>Honda Amaze 1.2 ComfortR 266 800</t>
  </si>
  <si>
    <t>Toyota Starlet 1.5 XSR 268 900</t>
  </si>
  <si>
    <t>Suzuki Ciaz 1.5 GLR 273 900</t>
  </si>
  <si>
    <t>Kia Picanto 1.2 X-LineR 273 995</t>
  </si>
  <si>
    <t>Kia Pegas 1.4 EXR 280 995</t>
  </si>
  <si>
    <t>Fiat 500 TwinAir ClubR 289 900</t>
  </si>
  <si>
    <t>Hyundai Grand i10 1.2 FluidR 291 900</t>
  </si>
  <si>
    <t>Volkswagen Polo Vivo 1.6 ComfortlineR 296 600</t>
  </si>
  <si>
    <t>Suzuki Baleno 1.5 GLXR 301 900</t>
  </si>
  <si>
    <t>Nissan Almera 1.5 AcentaR 310 000</t>
  </si>
  <si>
    <t>Suzuki Ciaz 1.5 GLXR 311 900</t>
  </si>
  <si>
    <t>Toyota Starlet 1.5 XRR 313 300</t>
  </si>
  <si>
    <t>Fiat 500 TwinAir DolcevitaR 322 900</t>
  </si>
  <si>
    <t>Toyota Corolla Quest 1.8 PlusR 329 000</t>
  </si>
  <si>
    <t>Kia Rio 1.4 LSR 330 995</t>
  </si>
  <si>
    <t>Hyundai i20 1.4 MotionR 336 900</t>
  </si>
  <si>
    <t>Kia Rio 1.4 LXR 345 995</t>
  </si>
  <si>
    <t>Honda Fit 1.5 ComfortR 347 500</t>
  </si>
  <si>
    <t>Mazda Mazda2 1.5 DynamicR 349 100</t>
  </si>
  <si>
    <t>Kia Rio 1.4 EXR 358 995</t>
  </si>
  <si>
    <t>Fiat 500 500C TwinAir DolcevitaR 359 900</t>
  </si>
  <si>
    <t>Toyota Corolla Quest 1.8 PrestigeR 360 600</t>
  </si>
  <si>
    <t>Honda Ballade 1.5 ComfortR 374 000</t>
  </si>
  <si>
    <t>Citroën C3 1.2T ShineR 374 900</t>
  </si>
  <si>
    <t>Mazda Mazda2 1.5 IndividualR 379 500</t>
  </si>
  <si>
    <t>Toyota Corolla Quest 1.8 ExclusiveR 379 600</t>
  </si>
  <si>
    <t>Volkswagen Polo Sedan 1.6 LifeR 381 700</t>
  </si>
  <si>
    <t>Kia Rio 1.4 TecR 383 995</t>
  </si>
  <si>
    <t>Honda Fit 1.5 EleganceR 391 000</t>
  </si>
  <si>
    <t>Hyundai i20 1.0T FluidR 394 900</t>
  </si>
  <si>
    <t>Volkswagen Polo Hatch 1.0TSI 85kW LifeR 397 500</t>
  </si>
  <si>
    <t>Mazda Mazda2 1.5 HazumiR 407 400</t>
  </si>
  <si>
    <t>Honda Ballade 1.5 EleganceR 407 700</t>
  </si>
  <si>
    <t>Suzuki Swift 1.4T SportR 415 900</t>
  </si>
  <si>
    <t>Peugeot 208 1.2T AllureR 419 900</t>
  </si>
  <si>
    <t>Honda Fit 1.5 ExecutiveR 423 500</t>
  </si>
  <si>
    <t>Hyundai i20 1.0T N LineR 428 900</t>
  </si>
  <si>
    <t>Opel Corsa 1.2T EleganceR 436 900</t>
  </si>
  <si>
    <t>Honda Ballade 1.5 RSR 440 900</t>
  </si>
  <si>
    <t>Volkswagen Polo hatch 1.0TSI 85kW R-LineR 445 500</t>
  </si>
  <si>
    <t>Fiat Tipo Hatch 1.6 City LifeR 451 900</t>
  </si>
  <si>
    <t>Mazda Mazda3 Hatch 1.5 DynamicR 453 300</t>
  </si>
  <si>
    <t>MINI One Hatch 3-doorR 453 707</t>
  </si>
  <si>
    <t>Peugeot 208 1.2T GTR 459 900</t>
  </si>
  <si>
    <t>MINI One Hatch 5-doorR 464 975</t>
  </si>
  <si>
    <t>Audi A1 Sportback 30TFSIR 467 300</t>
  </si>
  <si>
    <t>Fiat Tipo Sedan 1.6 City LifeR 469 900</t>
  </si>
  <si>
    <t>Audi A1 Sportback 30TFSI S lineR 489 800</t>
  </si>
  <si>
    <t>Fiat Tipo Hatch 1.6 LifeR 489 900</t>
  </si>
  <si>
    <t>Toyota Corolla Hatch 1.8 Hybrid XSR 500 700</t>
  </si>
  <si>
    <t>Mazda Mazda3 Hatch 1.5 IndividualR 508 800</t>
  </si>
  <si>
    <t>Honda Fit HybridR 509 600</t>
  </si>
  <si>
    <t>Toyota Corolla 1.8 Hybrid XSR 512 700</t>
  </si>
  <si>
    <t>Volkswagen Polo GTIR 522 500</t>
  </si>
  <si>
    <t>Toyota Corolla 2.0 XRR 527 400</t>
  </si>
  <si>
    <t>Audi A1 Sportback 35TFSIR 527 900</t>
  </si>
  <si>
    <t>Toyota Corolla Hatch 2.0 XRR 529 000</t>
  </si>
  <si>
    <t>Toyota Corolla 1.8 Hybrid XRR 532 200</t>
  </si>
  <si>
    <t>MINI Cooper Hatch 3-doorR 534 873</t>
  </si>
  <si>
    <t>Toyota Corolla Hatch 1.8 Hybrid XRR 539 000</t>
  </si>
  <si>
    <t>MINI Cooper Hatch 5-doorR 546 220</t>
  </si>
  <si>
    <t>Audi A1 Sportback 35TFSI S lineR 550 400</t>
  </si>
  <si>
    <t>Mazda Mazda3 Hatch 2.0 AstinaR 554 500</t>
  </si>
  <si>
    <t>Audi A1 Sportback 40TFSI S lineR 576 200</t>
  </si>
  <si>
    <t>MINI Cooper S Hatch 3-doorR 615 162</t>
  </si>
  <si>
    <t>Audi A3 Sportback 35TFSIR 622 800</t>
  </si>
  <si>
    <t>MINI Cooper S Hatch 3-door Resolute EditionR 624 662</t>
  </si>
  <si>
    <t>MINI Cooper S Hatch 5-doorR 626 053</t>
  </si>
  <si>
    <t>MINI Cooper S Hatch 5-door Resolute EditionR 635 553</t>
  </si>
  <si>
    <t>Audi A3 Sedan 35TFSIR 637 800</t>
  </si>
  <si>
    <t>BMW 118iR 641 072</t>
  </si>
  <si>
    <t>MINI Cooper ConvertibleR 641 661</t>
  </si>
  <si>
    <t>Audi A3 Sportback 35TFSI S lineR 662 800</t>
  </si>
  <si>
    <t>BMW 118i M SportR 676 772</t>
  </si>
  <si>
    <t>Audi A3 Sedan 35TFSI S lineR 677 800</t>
  </si>
  <si>
    <t>BMW 118dR 679 250</t>
  </si>
  <si>
    <t>Honda Civic Sedan 1.5T RSR 689 100</t>
  </si>
  <si>
    <t>BMW 218i Gran CoupéR 691 072</t>
  </si>
  <si>
    <t>Audi A3 Sportback 40TFSI S lineR 710 600</t>
  </si>
  <si>
    <t>BMW 118d M SportR 714 950</t>
  </si>
  <si>
    <t>MINI John Cooper Works Hatch 3-doorR 719 464</t>
  </si>
  <si>
    <t>Audi A3 Sedan 40TFSI S lineR 725 600</t>
  </si>
  <si>
    <t>BMW 218i Gran Coupé M SportR 726 772</t>
  </si>
  <si>
    <t>Volkswagen Golf GTI Jacara EditionR 727 500</t>
  </si>
  <si>
    <t>Mercedes-Benz A200 Hatch ProgressiveR 729 554</t>
  </si>
  <si>
    <t>BMW 218d Gran CoupéR 729 858</t>
  </si>
  <si>
    <t>MINI Cooper S ConvertibleR 739 010</t>
  </si>
  <si>
    <t>Audi A4 35TFSIR 740 700</t>
  </si>
  <si>
    <t>MINI Cooper SE Hatch 3-doorR 742 102</t>
  </si>
  <si>
    <t>BMW 220i Gran CoupéR 742 590</t>
  </si>
  <si>
    <t>Volkswagen Golf GTIR 744 200</t>
  </si>
  <si>
    <t>MINI Cooper SE Hatch 3-door Resolute EditionR 745 402</t>
  </si>
  <si>
    <t>Toyota GR86R 748 400</t>
  </si>
  <si>
    <t>MINI Cooper S Convertible Resolute EditionR 748 510</t>
  </si>
  <si>
    <t>Mercedes-Benz A200 Hatch AMG LineR 758 554</t>
  </si>
  <si>
    <t>BMW 128tiR 764 260</t>
  </si>
  <si>
    <t>BMW 218d Gran Coupé M SportR 765 558</t>
  </si>
  <si>
    <t>BMW 318iR 767 894</t>
  </si>
  <si>
    <t>Lexus ES 250 EXR 771 400</t>
  </si>
  <si>
    <t>BMW 220i Gran Coupé M SportR 778 290</t>
  </si>
  <si>
    <t>Hyundai i30 NR 779 900</t>
  </si>
  <si>
    <t>Audi A4 35TDIR 784 500</t>
  </si>
  <si>
    <t>Mercedes-Benz A200 Sedan ProgressiveR 784 554</t>
  </si>
  <si>
    <t>Audi A4 40TFSIR 794 800</t>
  </si>
  <si>
    <t>Mercedes-Benz A200 Sedan AMG LineR 813 554</t>
  </si>
  <si>
    <t>BMW 318i M SportR 817 894</t>
  </si>
  <si>
    <t>Audi A4 35TDI S lineR 829 500</t>
  </si>
  <si>
    <t>Lexus ES 300h EXR 829 900</t>
  </si>
  <si>
    <t>BMW 320iR 832 894</t>
  </si>
  <si>
    <t>Audi A5 Coupé 40TFSIR 834 300</t>
  </si>
  <si>
    <t>Audi A4 40TFSI S lineR 839 800</t>
  </si>
  <si>
    <t>BMW 220i Coupé M SportR 842 590</t>
  </si>
  <si>
    <t>Audi A5 Sportback 40TFSIR 849 300</t>
  </si>
  <si>
    <t>BMW 420i CoupéR 852 742</t>
  </si>
  <si>
    <t>Mercedes-Benz CLA200 ProgressiveR 856 463</t>
  </si>
  <si>
    <t>Subaru WRX 2.4T tS ESR 877 000</t>
  </si>
  <si>
    <t>Audi A5 Coupé 40TFSI S lineR 879 300</t>
  </si>
  <si>
    <t>BMW 320dR 880 768</t>
  </si>
  <si>
    <t>BMW 320i M SportR 882 894</t>
  </si>
  <si>
    <t>Audi S3 Sportback quattroR 883 100</t>
  </si>
  <si>
    <t>Mercedes-Benz CLA200 AMG LineR 885 463</t>
  </si>
  <si>
    <t>BMW 220d Coupé M SportR 889 706</t>
  </si>
  <si>
    <t>Audi TTS Coupé quattroR 894 100</t>
  </si>
  <si>
    <t>Audi A5 Sportback 40TFSI S lineR 894 300</t>
  </si>
  <si>
    <t>Audi S3 Sedan quattroR 898 100</t>
  </si>
  <si>
    <t>Mercedes-Benz CLA220d ProgressiveR 899 749</t>
  </si>
  <si>
    <t>BMW 420d CoupéR 899 858</t>
  </si>
  <si>
    <t>Renault Mégane RS 300 TrophyR 899 999</t>
  </si>
  <si>
    <t>BMW 420i Coupé M SportR 904 842</t>
  </si>
  <si>
    <t>Mercedes-Benz C200 Coupé AMG LineR 912 563</t>
  </si>
  <si>
    <t>Volvo S90 B5 EssentialR 922 600</t>
  </si>
  <si>
    <t>Audi A5 Coupé 40TDI quattro S lineR 928 300</t>
  </si>
  <si>
    <t>Mercedes-Benz CLA220d AMG LineR 928 749</t>
  </si>
  <si>
    <t>BMW M135i xDriveR 930 537</t>
  </si>
  <si>
    <t>BMW 320d M SportR 930 768</t>
  </si>
  <si>
    <t>Lexus IS 300h EXR 942 700</t>
  </si>
  <si>
    <t>Audi A5 Sportback 40TDI quattro S lineR 943 300</t>
  </si>
  <si>
    <t>BMW 420d Coupé M SportR 951 958</t>
  </si>
  <si>
    <t>BMW 420i Gran Coupé M SportR 953 197</t>
  </si>
  <si>
    <t>Mercedes-Benz C220d Coupé AMG LineR 954 850</t>
  </si>
  <si>
    <t>BMW Z4 sDrive20i M SportR 963 645</t>
  </si>
  <si>
    <t>Mercedes-Benz C200 AvantgardeR 966 156</t>
  </si>
  <si>
    <t>BMW M235i xDrive Gran CoupéR 980 840</t>
  </si>
  <si>
    <t>BMW 420i ConvertibleR 987 853</t>
  </si>
  <si>
    <t>Mercedes-Benz E200 AvantgardeR 993 289</t>
  </si>
  <si>
    <t>Volvo S90 B5 Plus DarkR 998 300</t>
  </si>
  <si>
    <t>BMW 420d Gran Coupé M SportR 1 000 313</t>
  </si>
  <si>
    <t>Volvo S90 B5 Plus BrightR 1 002 500</t>
  </si>
  <si>
    <t>Mercedes-AMG A35 Sedan 4MaticR 1 006 041</t>
  </si>
  <si>
    <t>Lexus IS 300h SER 1 008 300</t>
  </si>
  <si>
    <t>Mercedes-Benz C200 AMG LineR 1 020 156</t>
  </si>
  <si>
    <t>Lexus ES 300h SER 1 021 300</t>
  </si>
  <si>
    <t>Mercedes-Benz C220d AvantgardeR 1 030 549</t>
  </si>
  <si>
    <t>Volvo S90 B5 Ultimate DarkR 1 035 400</t>
  </si>
  <si>
    <t>Lexus IS 300h F SportR 1 036 400</t>
  </si>
  <si>
    <t>Volvo S90 B5 Ultimate BrightR 1 039 300</t>
  </si>
  <si>
    <t>Audi A6 40TDIR 1 041 000</t>
  </si>
  <si>
    <t>BMW 420i convertible M SportR 1 044 553</t>
  </si>
  <si>
    <t>Mercedes-Benz C300 Coupé AMG LineR 1 048 213</t>
  </si>
  <si>
    <t>Mercedes-Benz E200 AMG LineR 1 059 589</t>
  </si>
  <si>
    <t>Mercedes-Benz C200 Cabriolet AMG LineR 1 062 081</t>
  </si>
  <si>
    <t>Mercedes-Benz E220d AvantgardeR 1 066 926</t>
  </si>
  <si>
    <t>BMW 520dR 1 081 376</t>
  </si>
  <si>
    <t>BMW 530iR 1 083 956</t>
  </si>
  <si>
    <t>Mercedes-Benz C220d AMG LineR 1 084 549</t>
  </si>
  <si>
    <t>Alfa Romeo Giulia 2.0T VeloceR 1 086 900</t>
  </si>
  <si>
    <t>Audi S4 TFSI quattroR 1 087 000</t>
  </si>
  <si>
    <t>Audi A6 40TDI sports S lineR 1 090 700</t>
  </si>
  <si>
    <t>Mercedes-AMG A35 Hatch 4MaticR 1 112 448</t>
  </si>
  <si>
    <t>Ford Mustang 5.0 GT FastbackR 1 117 500</t>
  </si>
  <si>
    <t>Mercedes-Benz E220d AMG LineR 1 133 226</t>
  </si>
  <si>
    <t>BMW M240i xDrive CoupéR 1 138 662</t>
  </si>
  <si>
    <t>BMW 520d M SportR 1 143 776</t>
  </si>
  <si>
    <t>BMW 530i M SportR 1 146 356</t>
  </si>
  <si>
    <t>Toyota GR Supra 3.0T TrackR 1 155 900</t>
  </si>
  <si>
    <t>Mercedes-AMG CLA35 4MaticR 1 166 348</t>
  </si>
  <si>
    <t>Audi S5 TFSI Coupé quattroR 1 169 400</t>
  </si>
  <si>
    <t>Mercedes-Benz C300 Cabriolet AMG LineR 1 182 231</t>
  </si>
  <si>
    <t>Audi S5 TFSI Sportback quattroR 1 184 400</t>
  </si>
  <si>
    <t>Volvo S90 B6 AWD Plus DarkR 1 186 900</t>
  </si>
  <si>
    <t>Ford Mustang 5.0 GT/CS California Special fastbackR 1 187 500</t>
  </si>
  <si>
    <t>Volvo S90 B6 AWD Plus BrightR 1 190 800</t>
  </si>
  <si>
    <t>Ford Mustang 5.0 GT ConvertibleR 1 194 000</t>
  </si>
  <si>
    <t>Audi TT RS Coupé quattroR 1 211 200</t>
  </si>
  <si>
    <t>Audi RS3 Sportback quattroR 1 215 000</t>
  </si>
  <si>
    <t>Volvo S90 B6 AWD Ultimate DarkR 1 223 900</t>
  </si>
  <si>
    <t>Volvo S90 B6 AWD Ultimate BrightR 1 227 800</t>
  </si>
  <si>
    <t>Ford Mustang 5.0 Mach 1 FastbackR 1 233 400</t>
  </si>
  <si>
    <t>Mercedes-Benz E300 Coupé AMG LineR 1 240 989</t>
  </si>
  <si>
    <t>Audi RS3 Sedan quattroR 1 245 000</t>
  </si>
  <si>
    <t>Audi A6 45TDI quattroR 1 245 700</t>
  </si>
  <si>
    <t>Mercedes-AMG A45 S Hatch 4Matic+R 1 256 243</t>
  </si>
  <si>
    <t>Audi TT RS Roadster quattroR 1 267 100</t>
  </si>
  <si>
    <t>Audi S5 TFSI Cabriolet quattroR 1 269 400</t>
  </si>
  <si>
    <t>BMW Z4 M40iR 1 286 537</t>
  </si>
  <si>
    <t>Audi A6 45TDI quattro sports S lineR 1 295 400</t>
  </si>
  <si>
    <t>Toyota GR Supra 3.0TR 1 300 600</t>
  </si>
  <si>
    <t>BMW M440i xDrive CoupéR 1 327 599</t>
  </si>
  <si>
    <t>BMW M340i xDriveR 1 338 207</t>
  </si>
  <si>
    <t>Mercedes-AMG C43 Coupé 4MaticR 1 358 432</t>
  </si>
  <si>
    <t>Mercedes-Benz E300 Cabriolet AMG LineR 1 393 444</t>
  </si>
  <si>
    <t>BMW M440i xDrive Gran CoupéR 1 413 966</t>
  </si>
  <si>
    <t>BMW M440i xDrive ConvertibleR 1 439 117</t>
  </si>
  <si>
    <t>Mercedes-AMG CLA45 S 4Matic+R 1 466 237</t>
  </si>
  <si>
    <t>Audi A7 Sportback 55TFSI quattroR 1 469 700</t>
  </si>
  <si>
    <t>Mercedes-AMG C43 Cabriolet 4MaticR 1 489 495</t>
  </si>
  <si>
    <t>BMW M2 CoupéR 1 503 975</t>
  </si>
  <si>
    <t>Audi A7 Sportback 55TFSI quattro S lineR 1 505 980</t>
  </si>
  <si>
    <t>Audi RS5 Coupé quattroR 1 552 700</t>
  </si>
  <si>
    <t>Audi RS5 Sportback quattroR 1 567 700</t>
  </si>
  <si>
    <t>Audi S6 TFSI quattroR 1 586 900</t>
  </si>
  <si>
    <t>Lexus RC FR 1 615 000</t>
  </si>
  <si>
    <t>BMW i4 M50R 1 637 900</t>
  </si>
  <si>
    <t>BMW M550i xDriveR 1 647 922</t>
  </si>
  <si>
    <t>Porsche PanameraR 1 669 000</t>
  </si>
  <si>
    <t>Audi S7 TFSI Sportback quattroR 1 699 300</t>
  </si>
  <si>
    <t>Porsche Panamera 4R 1 770 000</t>
  </si>
  <si>
    <t>Mercedes-AMG E53 Coupé 4Matic+R 1 780 103</t>
  </si>
  <si>
    <t>Mercedes-Benz EQE 350+ SedanR 1 800 000</t>
  </si>
  <si>
    <t>Alfa Romeo Giulia QuadrifoglioR 1 805 900</t>
  </si>
  <si>
    <t>Porsche 911 Carrera CoupéR 1 849 000</t>
  </si>
  <si>
    <t>Jaguar F-Type 75 CoupéR 1 931 000</t>
  </si>
  <si>
    <t>Mercedes-AMG E53 Cabriolet 4Matic+R 1 931 407</t>
  </si>
  <si>
    <t>Porsche Panamera Platinum EditionR 1 961 000</t>
  </si>
  <si>
    <t>Porsche 911 Carrera 4 CoupéR 1 979 000</t>
  </si>
  <si>
    <t>Porsche Panamera 4 executiveR 2 024 000</t>
  </si>
  <si>
    <t>BMW M3 competition M xDriveR 2 040 797</t>
  </si>
  <si>
    <t>Porsche Panamera 4 Platinum EditionR 2 063 000</t>
  </si>
  <si>
    <t>Porsche 911 Carrera CabrioletR 2 079 000</t>
  </si>
  <si>
    <t>Mercedes-AMG C63 S CoupéR 2 098 389</t>
  </si>
  <si>
    <t>Porsche Panamera 4 e-hybridR 2 119 000</t>
  </si>
  <si>
    <t>BMW M4 competition Coupé M xDriveR 2 120 797</t>
  </si>
  <si>
    <t>Porsche 911 Carrera S CoupéR 2 159 000</t>
  </si>
  <si>
    <t>BMW 740i Design Pure ExcellenceR 2 172 751</t>
  </si>
  <si>
    <t>Porsche TaycanR 2 179 000</t>
  </si>
  <si>
    <t>Mercedes-AMG EQE 43 4Matic SedanR 2 200 000</t>
  </si>
  <si>
    <t>BMW M4 competition Convertible M xDriveR 2 201 556</t>
  </si>
  <si>
    <t>Mercedes-AMG C63 S CabrioletR 2 204 756</t>
  </si>
  <si>
    <t>Porsche 911 targa 4R 2 209 000</t>
  </si>
  <si>
    <t>BMW 740i M SportR 2 247 751</t>
  </si>
  <si>
    <t>Maserati Ghibli GTR 2 250 000</t>
  </si>
  <si>
    <t>BMW M850i xDrive Gran CoupéR 2 252 922</t>
  </si>
  <si>
    <t>Porsche 911 Carrera 4S CoupéR 2 289 000</t>
  </si>
  <si>
    <t>BMW 740d xDrive Design Pure ExcellenceR 2 293 207</t>
  </si>
  <si>
    <t>BMW M850i xDrive CoupéR 2 302 922</t>
  </si>
  <si>
    <t>Porsche Panamera 4 e-hybrid Platinum EditionR 2 335 000</t>
  </si>
  <si>
    <t>Porsche Panamera 4 e-hybrid executiveR 2 359 000</t>
  </si>
  <si>
    <t>Audi RS7 Sportback quattroR 2 366 400</t>
  </si>
  <si>
    <t>BMW 740d xDrive M SportR 2 368 207</t>
  </si>
  <si>
    <t>Lexus LC 500 CoupéR 2 371 000</t>
  </si>
  <si>
    <t>Porsche 911 Carrera S CabrioletR 2 389 000</t>
  </si>
  <si>
    <t>Lexus LS 500 F SportR 2 397 600</t>
  </si>
  <si>
    <t>Mercedes-Benz S350d LR 2 435 939</t>
  </si>
  <si>
    <t>BMW M850i xDrive ConvertibleR 2 452 922</t>
  </si>
  <si>
    <t>Porsche Panamera GTSR 2 463 000</t>
  </si>
  <si>
    <t>BMW M5 competitionR 2 472 466</t>
  </si>
  <si>
    <t>Porsche Panamera 4S e-hybridR 2 479 000</t>
  </si>
  <si>
    <t>Mercedes-Benz S350d L AMG LineR 2 512 639</t>
  </si>
  <si>
    <t>Lexus LC 500 ConvertibleR 2 513 500</t>
  </si>
  <si>
    <t>Porsche Taycan 4SR 2 519 000</t>
  </si>
  <si>
    <t>Lexus LS 500hR 2 525 100</t>
  </si>
  <si>
    <t>Porsche 911 Carrera 4 GTS CoupéR 2 579 000</t>
  </si>
  <si>
    <t>Lexus RC F Track EditionR 2 579 100</t>
  </si>
  <si>
    <t>Porsche 718 Cayman GT4 RSR 2 588 000</t>
  </si>
  <si>
    <t>Lexus LS 500R 2 595 400</t>
  </si>
  <si>
    <t>Mercedes-Benz EQS 450+ SedanR 2 620 500</t>
  </si>
  <si>
    <t>Mercedes-AMG E63 S 4Matic+R 2 670 479</t>
  </si>
  <si>
    <t>Audi e-tron GT quattroR 2 715 000</t>
  </si>
  <si>
    <t>Mercedes-Benz S500 L 4MaticR 2 735 064</t>
  </si>
  <si>
    <t>Jaguar F-Type R75 CoupéR 2 759 000</t>
  </si>
  <si>
    <t>Mercedes-Benz EQS 450+ Sedan AMG LineR 2 760 500</t>
  </si>
  <si>
    <t>Porsche 911 targa 4 GTSR 2 809 000</t>
  </si>
  <si>
    <t>Mercedes-Benz S500 L 4Matic AMG LineR 2 811 764</t>
  </si>
  <si>
    <t>BMW i7 xDrive60R 2 825 000</t>
  </si>
  <si>
    <t>Maserati Quattroporte GTR 2 850 000</t>
  </si>
  <si>
    <t>BMW i7 xDrive60 M SportR 2 900 000</t>
  </si>
  <si>
    <t>Porsche 911 targa Edition 50 Years Porsche DesignR 3 029 000</t>
  </si>
  <si>
    <t>Porsche Taycan GTSR 3 059 000</t>
  </si>
  <si>
    <t>Porsche Taycan turboR 3 329 000</t>
  </si>
  <si>
    <t>Maserati Ghibli TrofeoR 3 350 000</t>
  </si>
  <si>
    <t>Audi RS e-tron GT quattroR 3 359 400</t>
  </si>
  <si>
    <t>BMW M8 competition Gran CoupéR 3 372 466</t>
  </si>
  <si>
    <t>Porsche Panamera turbo SR 3 388 000</t>
  </si>
  <si>
    <t>Mercedes-AMG EQS 53 4Matic+ SedanR 3 415 250</t>
  </si>
  <si>
    <t>BMW M8 competition CoupéR 3 421 859</t>
  </si>
  <si>
    <t>Maserati Quattroporte ModenaR 3 450 000</t>
  </si>
  <si>
    <t>Audi R8 Coupé V10 performance quattroR 3 523 600</t>
  </si>
  <si>
    <t>BMW M8 competition ConvertibleR 3 572 618</t>
  </si>
  <si>
    <t>Porsche Panamera turbo S e-hybridR 3 582 000</t>
  </si>
  <si>
    <t>Porsche 911 turbo CoupéR 3 669 000</t>
  </si>
  <si>
    <t>Mercedes-Maybach S580R 3 736 681</t>
  </si>
  <si>
    <t>Audi R8 Spyder V10 performance quattroR 3 795 100</t>
  </si>
  <si>
    <t>Porsche 911 turbo CabrioletR 3 899 000</t>
  </si>
  <si>
    <t>Porsche Taycan turbo SR 3 909 000</t>
  </si>
  <si>
    <t>Porsche 911 DakarR 4 140 000</t>
  </si>
  <si>
    <t>Porsche 911 GT3 RSR 4 153 000</t>
  </si>
  <si>
    <t>Porsche 911 turbo S CoupéR 4 179 000</t>
  </si>
  <si>
    <t>Porsche 911 turbo S CabrioletR 4 409 000</t>
  </si>
  <si>
    <t>Bentley Flying Spur V8R 4 420 000</t>
  </si>
  <si>
    <t>Maserati Quattroporte TrofeoR 4 500 000</t>
  </si>
  <si>
    <t>Bentley Flying Spur HybridR 4 520 000</t>
  </si>
  <si>
    <t>Bentley Continental GT V8R 4 590 000</t>
  </si>
  <si>
    <t>Mercedes-Maybach S680R 4 656 157</t>
  </si>
  <si>
    <t>Bentley Continental GTC V8R 5 060 000</t>
  </si>
  <si>
    <t>Bentley Flying Spur V8 SR 5 100 000</t>
  </si>
  <si>
    <t>Bentley Continental GT SR 5 150 000</t>
  </si>
  <si>
    <t>Bentley Flying Spur Hybrid AzureR 5 280 000</t>
  </si>
  <si>
    <t>Bentley Flying Spur V8 AzureR 5 320 000</t>
  </si>
  <si>
    <t>Bentley Flying Spur SpeedR 5 440 000</t>
  </si>
  <si>
    <t>Lamborghini Huracán TecnicaR 5 475 000</t>
  </si>
  <si>
    <t>Bentley Continental GT AzureR 5 520 000</t>
  </si>
  <si>
    <t>Bentley Continental GTC SR 5 680 000</t>
  </si>
  <si>
    <t>Bentley Continental GT SpeedR 5 690 000</t>
  </si>
  <si>
    <t>Bentley Continental GTC AzureR 6 080 000</t>
  </si>
  <si>
    <t>Bentley Continental GT V8 MullinerR 6 180 000</t>
  </si>
  <si>
    <t>Bentley Continental GTC SpeedR 6 270 000</t>
  </si>
  <si>
    <t>Bentley Flying Spur V8 MullinerR 6 460 000</t>
  </si>
  <si>
    <t>Bentley Flying Spur Hybrid MullinerR 6 560 000</t>
  </si>
  <si>
    <t>Bentley Continental GTC V8 MullinerR 6 690 000</t>
  </si>
  <si>
    <t>Bentley Flying Spur W12 MullinerR 6 700 000</t>
  </si>
  <si>
    <t>Maserati MC20 CoupéR 6 750 000</t>
  </si>
  <si>
    <t>Bentley Continental GT W12 MullinerR 6 770 000</t>
  </si>
  <si>
    <t>Ferrari 296 GTBR 6 804 200</t>
  </si>
  <si>
    <t>Bentley Continental GTC W12 MullinerR 7 460 000</t>
  </si>
  <si>
    <t>Ferrari 296 GTSR 7 494 800</t>
  </si>
  <si>
    <t>Lamborghini Huracán STOR 8 275 000</t>
  </si>
  <si>
    <t>Renault Triber 1.0 LifeR 203 999</t>
  </si>
  <si>
    <t>Renault Triber 1.0 ZenR 213 999</t>
  </si>
  <si>
    <t>Renault Triber 1.0 IntensR 229 999</t>
  </si>
  <si>
    <t>Renault Triber 1.0 Intens autoR 239 999</t>
  </si>
  <si>
    <t>Suzuki Ertiga 1.5 GAR 258 900</t>
  </si>
  <si>
    <t>Toyota Rumion 1.5 SR 265 800</t>
  </si>
  <si>
    <t>Toyota Rumion 1.5 SXR 296 100</t>
  </si>
  <si>
    <t>Suzuki Ertiga 1.5 GLR 299 900</t>
  </si>
  <si>
    <t>Toyota Rumion 1.5 SX autoR 313 000</t>
  </si>
  <si>
    <t>Suzuki Ertiga 1.5 GL autoR 316 900</t>
  </si>
  <si>
    <t>Toyota Rumion 1.5 TXR 326 400</t>
  </si>
  <si>
    <t>Mitsubishi Xpander 1.5R 339 995</t>
  </si>
  <si>
    <t>Toyota Rumion 1.5 TX autoR 343 200</t>
  </si>
  <si>
    <t>Mitsubishi Xpander 1.5 autoR 359 995</t>
  </si>
  <si>
    <t>Volkswagen Caddy Kombi 1.6R 433 400</t>
  </si>
  <si>
    <t>Fiat Doblò Cargo Maxi 1.3 Multijet Crew Cab SXR 447 900</t>
  </si>
  <si>
    <t>Opel Combo Life 1.6TD EnjoyR 464 900</t>
  </si>
  <si>
    <t>Fiat Doblò Cargo Maxi 1.6 Multijet Crew Cab SXR 466 900</t>
  </si>
  <si>
    <t>Fiat Doblò Combi Maxi 1.6 Multijet SXR 499 900</t>
  </si>
  <si>
    <t>Volkswagen Caddy Kombi 2.0TDIR 500 200</t>
  </si>
  <si>
    <t>Volkswagen Caddy 1.6R 509 000</t>
  </si>
  <si>
    <t>Volkswagen Caddy Maxi Kombi 2.0TDIR 528 200</t>
  </si>
  <si>
    <t>MINI Cooper ClubmanR 596 215</t>
  </si>
  <si>
    <t>Volkswagen Caddy 2.0TDIR 602 700</t>
  </si>
  <si>
    <t>Toyota Quantum 2.8 LWB Crew cabR 615 900</t>
  </si>
  <si>
    <t>Volkswagen Caddy Maxi 2.0TDIR 630 600</t>
  </si>
  <si>
    <t>Toyota Hiace 2.5D-4D Bus 14-seater GLR 680 900</t>
  </si>
  <si>
    <t>MINI Cooper S ClubmanR 691 799</t>
  </si>
  <si>
    <t>Ford Tourneo Custom 2.2TDCi LWB AmbienteR 692 700</t>
  </si>
  <si>
    <t>Volkswagen Transporter 2.0TDI 81kW Crew Bus LWB 10-SeaterR 696 800</t>
  </si>
  <si>
    <t>Mercedes-Benz Vito 111 CDI Tourer BaseR 707 643</t>
  </si>
  <si>
    <t>MINI Cooper S Clubman Untold EditionR 714 799</t>
  </si>
  <si>
    <t>Ford Tourneo Custom 2.2TDCi LWB TrendR 720 500</t>
  </si>
  <si>
    <t>Volkswagen Transporter 2.0TDI 110kW Crew Bus LWB 5-SeaterR 724 700</t>
  </si>
  <si>
    <t>Subaru Outback 2.5i-Field ESR 728 000</t>
  </si>
  <si>
    <t>Mercedes-Benz Vito 111 CDI Mixto CrewcabR 747 965</t>
  </si>
  <si>
    <t>Toyota Quantum 2.8 LWB Bus 11-seater GLR 758 200</t>
  </si>
  <si>
    <t>Hyundai Staria 2.2D MulticabR 764 900</t>
  </si>
  <si>
    <t>Toyota Quantum 2.8 SLWB Bus 14-seater GLR 775 200</t>
  </si>
  <si>
    <t>Ford Tourneo Custom 2.2TDCi SWB LimitedR 779 000</t>
  </si>
  <si>
    <t>Ford Tourneo Custom 2.0SiT LWB TrendR 781 100</t>
  </si>
  <si>
    <t>Subaru Outback 2.5i-Touring ESR 788 000</t>
  </si>
  <si>
    <t>Toyota Quantum 2.8 SLWB Bus 14-seater GL autoR 793 600</t>
  </si>
  <si>
    <t>Volkswagen Transporter 2.0BiTDI 146kW Crew Bus SWB 4Motion 5-SeaterR 806 500</t>
  </si>
  <si>
    <t>Opel Zafira Life 2.0TD EditionR 819 000</t>
  </si>
  <si>
    <t>Volkswagen Transporter 2.0TDI 81kW Kombi SWB TrendlineR 820 200</t>
  </si>
  <si>
    <t>Kia Carnival 2.2CRDi EXR 824 995</t>
  </si>
  <si>
    <t>Ford Tourneo Custom 2.0SiT SWB LimitedR 827 300</t>
  </si>
  <si>
    <t>Hyundai Staria 2.2D Executive 9-seaterR 835 900</t>
  </si>
  <si>
    <t>Hyundai Staria 2.2D Executive 11-seaterR 846 900</t>
  </si>
  <si>
    <t>Volkswagen Transporter 2.0TDI 110kW Kombi SWB TrendlineR 853 200</t>
  </si>
  <si>
    <t>MINI John Cooper Works ALL4 ClubmanR 855 697</t>
  </si>
  <si>
    <t>Mercedes-Benz Vito 114 CDI Mixto Pro CrewcabR 857 845</t>
  </si>
  <si>
    <t>Volkswagen Transporter 2.0BiTDI 146kW Crew Bus LWB 4Motion 8-SeaterR 858 600</t>
  </si>
  <si>
    <t>Mercedes-Benz Vito 111 CDI Tourer ProR 865 335</t>
  </si>
  <si>
    <t>Kia Carnival 2.2CRDi EX+R 904 995</t>
  </si>
  <si>
    <t>Mercedes-Benz Vito 114 CDI Mixto Pro Crewcab autoR 908 137</t>
  </si>
  <si>
    <t>Opel Zafira Life 2.0TD EleganceR 946 900</t>
  </si>
  <si>
    <t>Hyundai Staria 2.2D EliteR 964 900</t>
  </si>
  <si>
    <t>Mercedes-Benz Vito 114 CDI Tourer ProR 993 233</t>
  </si>
  <si>
    <t>Kia Carnival 2.2CRDi SX LimitedR 1 024 995</t>
  </si>
  <si>
    <t>Volvo V90 Cross Country B5 AWD EssentialR 1 048 700</t>
  </si>
  <si>
    <t>Kia Carnival 2.2CRDi SXLR 1 049 995</t>
  </si>
  <si>
    <t>Mercedes-Benz Vito 116 CDI Tourer ProR 1 054 209</t>
  </si>
  <si>
    <t>Toyota Quantum 2.8 LWB Bus 6-seater VX PremiumR 1 107 400</t>
  </si>
  <si>
    <t>Toyota Quantum 2.8 LWB Bus 9-seater VX PremiumR 1 111 400</t>
  </si>
  <si>
    <t>Volvo V90 Cross Country B5 AWD PlusR 1 128 700</t>
  </si>
  <si>
    <t>Hyundai Staria 2.2D LuxuryR 1 160 900</t>
  </si>
  <si>
    <t>Volvo V90 Cross Country B5 AWD UltimateR 1 165 700</t>
  </si>
  <si>
    <t>Mercedes-Benz Vito 116 CDI Tourer SelectR 1 243 411</t>
  </si>
  <si>
    <t>Mercedes-Benz V220dR 1 285 562</t>
  </si>
  <si>
    <t>Mercedes-Benz Vito 119 CDI Tourer SelectR 1 287 532</t>
  </si>
  <si>
    <t>Volkswagen Caravelle 2.0BiTDI 146kW Highline 4MotionR 1 353 700</t>
  </si>
  <si>
    <t>Mercedes-Benz V220d AMG LineR 1 366 205</t>
  </si>
  <si>
    <t>Mercedes-Benz V250dR 1 373 835</t>
  </si>
  <si>
    <t>Volkswagen California 2.0BiTDI 146kW Coast 4MotionR 1 410 700</t>
  </si>
  <si>
    <t>Audi RS4 Avant quattroR 1 448 400</t>
  </si>
  <si>
    <t>Mercedes-Benz V250d AMG LineR 1 454 478</t>
  </si>
  <si>
    <t>Mercedes-Benz V220d AvantgardeR 1 653 741</t>
  </si>
  <si>
    <t>Mercedes-Benz V250d AvantgardeR 1 707 228</t>
  </si>
  <si>
    <t>Mercedes-Benz V220d Avantgarde AMG LineR 1 717 109</t>
  </si>
  <si>
    <t>Mercedes-Benz V300d AvantgardeR 1 754 412</t>
  </si>
  <si>
    <t>Mercedes-Benz V250d Avantgarde AMG LineR 1 770 596</t>
  </si>
  <si>
    <t>Mercedes-Benz V300d Avantgarde AMG LineR 1 843 022</t>
  </si>
  <si>
    <t>Mercedes-Benz V300d ExclusiveR 2 042 471</t>
  </si>
  <si>
    <t>Audi RS6 Avant quattroR 2 254 600</t>
  </si>
  <si>
    <t>Porsche Taycan 4 Cross TurismoR 2 449 000</t>
  </si>
  <si>
    <t>Porsche Taycan 4S Cross TurismoR 2 549 000</t>
  </si>
  <si>
    <t>Porsche Taycan turbo Cross TurismoR 3 359 000</t>
  </si>
  <si>
    <t>Mahindra KUV100 Nxt 1.2 G80 K2+R 172 999</t>
  </si>
  <si>
    <t>Mahindra KUV100 Nxt 1.2 G80 K2+ #DARER 192 999</t>
  </si>
  <si>
    <t>Suzuki Ignis 1.2 GLR 208 900</t>
  </si>
  <si>
    <t>Mahindra KUV100 Nxt 1.2 G80 K6+R 217 999</t>
  </si>
  <si>
    <t>BAIC X25 1.5 ComfortR 219 990</t>
  </si>
  <si>
    <t>Renault Kiger 1.0 LifeR 219 999</t>
  </si>
  <si>
    <t>Mahindra KUV100 Nxt 1.2 G80 K6+ #DARER 227 999</t>
  </si>
  <si>
    <t>BAIC X25 1.5 FashionR 229 990</t>
  </si>
  <si>
    <t>Renault Kiger 1.0 ZenR 234 999</t>
  </si>
  <si>
    <t>Suzuki Ignis 1.2 GLXR 241 900</t>
  </si>
  <si>
    <t>Renault Kiger 1.0 Zen autoR 244 999</t>
  </si>
  <si>
    <t>Mahindra KUV100 Nxt 1.2 G80 K8R 249 999</t>
  </si>
  <si>
    <t>Mahindra KUV100 Nxt 1.2TD D75 K6+R 254 999</t>
  </si>
  <si>
    <t>Suzuki Ignis 1.2 GLX autoR 258 900</t>
  </si>
  <si>
    <t>Mahindra XUV300 1.2T W4R 259 999</t>
  </si>
  <si>
    <t>Suzuki Vitara Brezza 1.5 GLR 262 900</t>
  </si>
  <si>
    <t>Mahindra XUV300 1.2T W4 SER 268 999</t>
  </si>
  <si>
    <t>Suzuki Vitara Brezza 1.5 GL S-EditionR 281 900</t>
  </si>
  <si>
    <t>Toyota Urban Cruiser 1.5 XiR 283 200</t>
  </si>
  <si>
    <t>Suzuki Vitara Brezza 1.5 GL autoR 283 900</t>
  </si>
  <si>
    <t>Mahindra KUV100 Nxt 1.2TD D75 K8R 283 999</t>
  </si>
  <si>
    <t>Mahindra XUV300 1.2T W6R 284 999</t>
  </si>
  <si>
    <t>Renault Kiger 1.0 Turbo ZenR 289 999</t>
  </si>
  <si>
    <t>Nissan Magnite 1.0 Turbo AcentaR 296 500</t>
  </si>
  <si>
    <t>Hyundai Venue 1.2 MotionR 299 900</t>
  </si>
  <si>
    <t>Suzuki Vitara Brezza 1.5 GL S-Edition autoR 301 900</t>
  </si>
  <si>
    <t>Toyota Urban Cruiser 1.5 XSR 303 100</t>
  </si>
  <si>
    <t>Nissan Magnite 1.0 Turbo Acenta Red EditionR 304 300</t>
  </si>
  <si>
    <t>Mahindra XUV300 1.5TD W6R 306 999</t>
  </si>
  <si>
    <t>Suzuki Vitara Brezza 1.5 GLXR 308 900</t>
  </si>
  <si>
    <t>Renault Kiger 1.0 Turbo IntensR 309 999</t>
  </si>
  <si>
    <t>Ford EcoSport 1.5 AmbienteR 311 400</t>
  </si>
  <si>
    <t>Honda WR-V 1.2 ComfortR 315 200</t>
  </si>
  <si>
    <t>Kia Sonet 1.5 LXR 316 995</t>
  </si>
  <si>
    <t>Ford EcoSport 1.5TDCi AmbienteR 322 500</t>
  </si>
  <si>
    <t>Nissan Magnite 1.0 Turbo Acenta autoR 324 000</t>
  </si>
  <si>
    <t>Nissan Magnite 1.0 Turbo Acenta PlusR 326 000</t>
  </si>
  <si>
    <t>Toyota Urban Cruiser 1.5 XS autoR 327 100</t>
  </si>
  <si>
    <t>Suzuki Vitara Brezza 1.5 GLX autoR 329 900</t>
  </si>
  <si>
    <t>Renault Kiger 1.0 Turbo Intens autoR 329 999</t>
  </si>
  <si>
    <t>Nissan Magnite 1.0 Turbo Acenta Red Edition autoR 331 800</t>
  </si>
  <si>
    <t>Toyota Urban Cruiser 1.5 XRR 333 300</t>
  </si>
  <si>
    <t>Suzuki Jimny 1.5 GA AllGripR 334 900</t>
  </si>
  <si>
    <t>Chery Tiggo 4 Pro 1.5 ComfortR 336 900</t>
  </si>
  <si>
    <t>Kia Sonet 1.5 EXR 336 995</t>
  </si>
  <si>
    <t>Kia Sonet 1.5 LX autoR 337 995</t>
  </si>
  <si>
    <t>Haval Jolion 1.5T CityR 342 950</t>
  </si>
  <si>
    <t>Mahindra XUV300 1.2T W8R 343 999</t>
  </si>
  <si>
    <t>Ford EcoSport 1.5 Ambiente BlackR 346 710</t>
  </si>
  <si>
    <t>Chery Tiggo 4 Pro 1.5T EliteR 346 900</t>
  </si>
  <si>
    <t>Nissan Magnite 1.0 Turbo Acenta Plus autoR 353 500</t>
  </si>
  <si>
    <t>Honda WR-V 1.2 EleganceR 355 900</t>
  </si>
  <si>
    <t>Suzuki Jimny 1.5 GL AllGripR 356 900</t>
  </si>
  <si>
    <t>Toyota Urban Cruiser 1.5 XR autoR 357 100</t>
  </si>
  <si>
    <t>Kia Sonet 1.5 EX autoR 357 995</t>
  </si>
  <si>
    <t>Renault Duster 1.5dCi ZenR 357 999</t>
  </si>
  <si>
    <t>Ford EcoSport 1.0T TrendR 358 700</t>
  </si>
  <si>
    <t>Hyundai Venue 1.0T MotionR 362 900</t>
  </si>
  <si>
    <t>Mahindra XUV300 1.5TD W8R 364 999</t>
  </si>
  <si>
    <t>Ford EcoSport 1.0T Trend autoR 375 300</t>
  </si>
  <si>
    <t>Suzuki Jimny 1.5 GLX AllGripR 377 900</t>
  </si>
  <si>
    <t>Haval Jolion 1.5T LuxuryR 377 950</t>
  </si>
  <si>
    <t>Suzuki Jimny 1.5 GL AllGrip autoR 378 900</t>
  </si>
  <si>
    <t>Honda BR-V 1.5 TrendR 379 900</t>
  </si>
  <si>
    <t>Kia Sonet 1.0T EXR 379 995</t>
  </si>
  <si>
    <t>Toyota Corolla Cross 1.8 XiR 381 200</t>
  </si>
  <si>
    <t>Haval Jolion 1.5T PremiumR 384 950</t>
  </si>
  <si>
    <t>Mitsubishi ASX 2.0 ESR 384 990</t>
  </si>
  <si>
    <t>Mahindra Scorpio 2.2CRDe S11R 389 999</t>
  </si>
  <si>
    <t>Mazda CX-3 2.0 ActiveR 390 500</t>
  </si>
  <si>
    <t>Volkswagen T-Cross 1.0TSI 70kW ComfortlineR 393 400</t>
  </si>
  <si>
    <t>Ford EcoSport 1.0T ActiveR 393 700</t>
  </si>
  <si>
    <t>BAIC Beijing X55 1.5T DynamicR 394 900</t>
  </si>
  <si>
    <t>Hyundai Venue 1.0T FluidR 397 900</t>
  </si>
  <si>
    <t>Suzuki Jimny 1.5 GLX AllGrip autoR 399 900</t>
  </si>
  <si>
    <t>Ford EcoSport 1.0T TitaniumR 401 600</t>
  </si>
  <si>
    <t>Renault Duster 1.5dCi Zen autoR 401 999</t>
  </si>
  <si>
    <t>Hyundai Venue 1.0T Motion autoR 402 900</t>
  </si>
  <si>
    <t>Mitsubishi ASX 2.0 ES autoR 404 990</t>
  </si>
  <si>
    <t>Honda BR-V 1.5 ComfortR 409 900</t>
  </si>
  <si>
    <t>Kia Sonet 1.0T EX+R 409 995</t>
  </si>
  <si>
    <t>Renault Duster 1.5dCi IntensR 409 999</t>
  </si>
  <si>
    <t>Mazda CX-3 2.0 Active autoR 412 700</t>
  </si>
  <si>
    <t>Toyota Corolla Cross 1.8 XSR 414 300</t>
  </si>
  <si>
    <t>Haval Jolion 1.5T Luxury autoR 414 950</t>
  </si>
  <si>
    <t>Mahindra Scorpio 2.2CRDe 4WD S11R 414 999</t>
  </si>
  <si>
    <t>Ford EcoSport 1.0T Titanium autoR 416 900</t>
  </si>
  <si>
    <t>Opel Crossland 1.2T EditionR 419 900</t>
  </si>
  <si>
    <t>BAIC Beijing X55 1.5T EliteR 424 900</t>
  </si>
  <si>
    <t>Mazda CX-3 2.0 DynamicR 427 700</t>
  </si>
  <si>
    <t>Kia Seltos 1.6 EXR 427 995</t>
  </si>
  <si>
    <t>Hyundai Creta 1.5 PremiumR 428 900</t>
  </si>
  <si>
    <t>Citroën C3 Aircross 1.2T FeelR 429 900</t>
  </si>
  <si>
    <t>Honda BR-V 1.5 Comfort autoR 434 900</t>
  </si>
  <si>
    <t>Mitsubishi ASX 2.0 LSR 434 990</t>
  </si>
  <si>
    <t>Chery Tiggo 7 Pro 1.5T DistinctionR 437 900</t>
  </si>
  <si>
    <t>Volkswagen T-Cross 1.0TSI 85kW ComfortlineR 438 700</t>
  </si>
  <si>
    <t>Suzuki Vitara 1.6 GLX AllGripR 438 900</t>
  </si>
  <si>
    <t>Toyota Corolla Cross 1.8 Hybrid XSR 442 400</t>
  </si>
  <si>
    <t>Mazda CX-3 2.0 Dynamic autoR 443 700</t>
  </si>
  <si>
    <t>Suzuki Vitara 1.4T GLXR 445 900</t>
  </si>
  <si>
    <t>Kia Seltos 1.6 EX autoR 445 995</t>
  </si>
  <si>
    <t>Haval Jolion 1.5T Super LuxuryR 446 950</t>
  </si>
  <si>
    <t>Hyundai Creta 1.5 Premium autoR 448 900</t>
  </si>
  <si>
    <t>Proton X50 1.5T StandardR 449 900</t>
  </si>
  <si>
    <t>Toyota Corolla Cross 1.8 XRR 451 300</t>
  </si>
  <si>
    <t>Volkswagen Taigo 1.0TSI LifeR 453 800</t>
  </si>
  <si>
    <t>Peugeot 2008 1.2T ActiveR 454 900</t>
  </si>
  <si>
    <t>Mitsubishi ASX 2.0 LS autoR 454 990</t>
  </si>
  <si>
    <t>Kia Seltos 1.5CRDi EXR 457 995</t>
  </si>
  <si>
    <t>Toyota C-HR 1.2TR 459 500</t>
  </si>
  <si>
    <t>Honda BR-V 1.5 EleganceR 459 900</t>
  </si>
  <si>
    <t>Mahindra Scorpio 2.2CRDe 4WD S11 AdventureR 461 999</t>
  </si>
  <si>
    <t>Hyundai Venue 1.0T N LineR 463 900</t>
  </si>
  <si>
    <t>Kia Seltos 1.6 EX+R 463 995</t>
  </si>
  <si>
    <t>Subaru XV 2.0iR 464 000</t>
  </si>
  <si>
    <t>Mitsubishi ASX 2.0 AspireR 464 995</t>
  </si>
  <si>
    <t>Mahindra Scorpio-N 2.2D Z4R 465 000</t>
  </si>
  <si>
    <t>Toyota Corolla Cross 1.8 GR-SportR 466 800</t>
  </si>
  <si>
    <t>Honda HR-V 1.5 ComfortR 469 000</t>
  </si>
  <si>
    <t>Suzuki Vitara 1.4T GLX autoR 469 900</t>
  </si>
  <si>
    <t>Chery Tiggo 7 Pro 1.5T ExecutiveR 472 900</t>
  </si>
  <si>
    <t>Mahindra XUV700 2.0T AX5R 474 999</t>
  </si>
  <si>
    <t>Kia Seltos 1.5CRDi EX autoR 475 995</t>
  </si>
  <si>
    <t>Hyundai Grand Creta 2.0 ExecutiveR 477 900</t>
  </si>
  <si>
    <t>Volkswagen T-Cross 1.0TSI 85kW HighlineR 478 000</t>
  </si>
  <si>
    <t>Opel Crossland 1.2T GS LineR 478 900</t>
  </si>
  <si>
    <t>Haval H6 2.0GDIT PremiumR 479 950</t>
  </si>
  <si>
    <t>Mitsubishi Eclipse Cross 2.0 GLSR 479 990</t>
  </si>
  <si>
    <t>Toyota Corolla Cross 1.8 Hybrid XRR 480 200</t>
  </si>
  <si>
    <t>Toyota C-HR 1.2T PlusR 484 000</t>
  </si>
  <si>
    <t>Volkswagen Taigo 1.0TSI StyleR 489 900</t>
  </si>
  <si>
    <t>Kia Seltos 1.5CRDi EX+R 493 995</t>
  </si>
  <si>
    <t>Toyota Corolla Cross 1.8 Hybrid GR-SportR 495 200</t>
  </si>
  <si>
    <t>Chery Tiggo 8 Pro 1.6TGDI 290T DistinctionR 496 900</t>
  </si>
  <si>
    <t>Mazda CX-30 2.0 ActiveR 497 700</t>
  </si>
  <si>
    <t>Toyota C-HR 1.2T Plus autoR 498 500</t>
  </si>
  <si>
    <t>Proton X50 1.5T LuxuryR 499 900</t>
  </si>
  <si>
    <t>Mahindra Scorpio-N 2.2D Z8R 510 000</t>
  </si>
  <si>
    <t>Mazda CX-3 2.0 IndividualR 511 600</t>
  </si>
  <si>
    <t>Volkswagen Taigo 1.0TSI R-LineR 513 100</t>
  </si>
  <si>
    <t>Mazda CX-5 2.0 ActiveR 515 600</t>
  </si>
  <si>
    <t>Volkswagen T-Cross 1.5TSI 110kW R-LineR 518 800</t>
  </si>
  <si>
    <t>Haval H6 2.0GDIT LuxuryR 518 950</t>
  </si>
  <si>
    <t>Mitsubishi Eclipse Cross 1.5T GLSR 519 990</t>
  </si>
  <si>
    <t>Nissan X-Trail 2.0 VisiaR 520 900</t>
  </si>
  <si>
    <t>Kia Seltos 1.4T-GDI GT LineR 523 995</t>
  </si>
  <si>
    <t>Mahindra XUV700 2.0T AX7R 524 999</t>
  </si>
  <si>
    <t>Mazda CX-30 2.0 DynamicR 529 600</t>
  </si>
  <si>
    <t>Proton X70 1.5T StandardR 529 900</t>
  </si>
  <si>
    <t>Mazda CX-5 2.0 Active autoR 530 900</t>
  </si>
  <si>
    <t>Subaru XV 2.0i-S ESR 531 000</t>
  </si>
  <si>
    <t>Mazda CX-3 2.0 HikariR 532 600</t>
  </si>
  <si>
    <t>Proton X50 1.5T ExecutiveR 535 900</t>
  </si>
  <si>
    <t>Opel Mokka 1.2T GS LineR 539 900</t>
  </si>
  <si>
    <t>Mazda CX-30 2.0 Carbon EditionR 540 200</t>
  </si>
  <si>
    <t>Hyundai Grand Creta 1.5D ExecutiveR 540 900</t>
  </si>
  <si>
    <t>Peugeot 2008 1.2T GTR 544 900</t>
  </si>
  <si>
    <t>Jeep Renegade 1.4T LimitedR 549 900</t>
  </si>
  <si>
    <t>Haval H6 2.0GDIT 4WD LuxuryR 549 950</t>
  </si>
  <si>
    <t>Hyundai Tucson 2.0 PremiumR 550 900</t>
  </si>
  <si>
    <t>Honda HR-V 1.5 ExecutiveR 554 500</t>
  </si>
  <si>
    <t>Kia Sportage 1.6T-GDi LXR 554 995</t>
  </si>
  <si>
    <t>Mahindra XUV700 2.0T AX7 LR 559 999</t>
  </si>
  <si>
    <t>Mitsubishi Eclipse Cross 1.5T GLS ExceedR 560 000</t>
  </si>
  <si>
    <t>Fiat 500X 1.4T SportR 560 900</t>
  </si>
  <si>
    <t>Opel Grandland X 1.6TR 562 900</t>
  </si>
  <si>
    <t>BAIC B40 Plus 2.0TDiR 564 500</t>
  </si>
  <si>
    <t>Mazda CX-5 2.0 DynamicR 565 100</t>
  </si>
  <si>
    <t>Nissan Qashqai 1.3T VisiaR 568 200</t>
  </si>
  <si>
    <t>Hyundai Grand Creta 2.0 EliteR 571 900</t>
  </si>
  <si>
    <t>Nissan X-Trail 2.5 4x4 AcentaR 572 000</t>
  </si>
  <si>
    <t>Volkswagen T-Roc 1.4TSI 110kW DesignR 572 300</t>
  </si>
  <si>
    <t>Mazda CX-30 2.0 IndividualR 573 100</t>
  </si>
  <si>
    <t>Chery Tiggo 8 Pro 1.6TGDI 290T ExecutiveR 574 900</t>
  </si>
  <si>
    <t>Toyota C-HR 1.2T LuxuryR 576 900</t>
  </si>
  <si>
    <t>Proton X70 1.5T ExecutiveR 579 900</t>
  </si>
  <si>
    <t>Haval Jolion 1.5 HEV Super LuxuryR 579 950</t>
  </si>
  <si>
    <t>Fiat 500X 1.4T Sport ESTR 580 900</t>
  </si>
  <si>
    <t>Renault Koleos 2.5 DynamiqueR 584 999</t>
  </si>
  <si>
    <t>Honda CR-V 2.0 ComfortR 586 600</t>
  </si>
  <si>
    <t>Audi Q2 35TFSIR 587 600</t>
  </si>
  <si>
    <t>Volkswagen Tiguan 1.4TSI 110kWR 589 000</t>
  </si>
  <si>
    <t>Peugeot 3008 1.6T ActiveR 589 900</t>
  </si>
  <si>
    <t>Haval H6 2.0GDIT 4WD Super LuxuryR 589 950</t>
  </si>
  <si>
    <t>Mitsubishi Outlander 2.4 GLSR 589 990</t>
  </si>
  <si>
    <t>Mahindra Scorpio-N 2.2D Z8L 4XPlorR 590 000</t>
  </si>
  <si>
    <t>Hyundai Grand Creta 1.5D EliteR 592 900</t>
  </si>
  <si>
    <t>BAIC B40 Plus 2.0TDi City HunterR 594 500</t>
  </si>
  <si>
    <t>BAIC B40 Plus 2.0TR 599 500</t>
  </si>
  <si>
    <t>Hyundai Tucson 2.0 ExecutiveR 601 900</t>
  </si>
  <si>
    <t>Kia Sportage 1.6T-GDi EXR 608 995</t>
  </si>
  <si>
    <t>Subaru Forester 2.0i-S ESR 609 000</t>
  </si>
  <si>
    <t>Hyundai Kona 1.6T N LineR 615 900</t>
  </si>
  <si>
    <t>Audi Q2 35TFSI S lineR 617 800</t>
  </si>
  <si>
    <t>Opel Grandland X 1.6T EditionR 619 900</t>
  </si>
  <si>
    <t>Volkswagen Tiguan Allspace 1.4TSI 110kWR 629 200</t>
  </si>
  <si>
    <t>Proton X70 1.5T Executive AWDR 629 900</t>
  </si>
  <si>
    <t>Haval H6 GT 2.0GDIT 4WD Super LuxuryR 629 950</t>
  </si>
  <si>
    <t>Citroën C5 Aircross 1.6T FeelR 633 900</t>
  </si>
  <si>
    <t>Renault Koleos 2.5 Dynamique 4WDR 634 999</t>
  </si>
  <si>
    <t>Volkswagen T-Roc 2.0TSI 140kW 4Motion DesignR 636 700</t>
  </si>
  <si>
    <t>Nissan Qashqai 1.3T AcentaR 639 300</t>
  </si>
  <si>
    <t>Proton X70 1.5T Premium XR 639 900</t>
  </si>
  <si>
    <t>Mazda CX-5 2.0 Carbon EditionR 640 600</t>
  </si>
  <si>
    <t>MINI Cooper CountrymanR 644 940</t>
  </si>
  <si>
    <t>Subaru Forester 2.5i-Sport ESR 646 000</t>
  </si>
  <si>
    <t>BAIC B40 Plus 2.0T City HunterR 649 500</t>
  </si>
  <si>
    <t>Honda CR-V 2.0 EleganceR 651 700</t>
  </si>
  <si>
    <t>Toyota Fortuner 2.4GD-6R 653 450</t>
  </si>
  <si>
    <t>Volkswagen Tiguan 1.4TSI 110kW LifeR 658 200</t>
  </si>
  <si>
    <t>Toyota RAV4 2.0 GX-R AWDR 658 500</t>
  </si>
  <si>
    <t>Nissan X-Trail 1.6dCi 4x4 TeknaR 660 000</t>
  </si>
  <si>
    <t>Peugeot 3008 1.6T AllureR 664 900</t>
  </si>
  <si>
    <t>Kia Sportage 1.6T-GDi GT LineR 664 995</t>
  </si>
  <si>
    <t>BAIC B40 Plus 2.0T ChampionR 669 500</t>
  </si>
  <si>
    <t>Hyundai Tucson 2.0 EliteR 669 900</t>
  </si>
  <si>
    <t>Haval H6 1.5T HEV Ultra LuxuryR 669 950</t>
  </si>
  <si>
    <t>Volkswagen T-Roc 2.0TSI 140kW 4Motion R-LineR 670 300</t>
  </si>
  <si>
    <t>Nissan Qashqai 1.3T Acenta PlusR 670 600</t>
  </si>
  <si>
    <t>Toyota RAV4 2.0 VXR 671 600</t>
  </si>
  <si>
    <t>Audi Q3 35TFSIR 674 400</t>
  </si>
  <si>
    <t>Nissan X-Trail 2.5 4x4 TeknaR 674 900</t>
  </si>
  <si>
    <t>Toyota Fortuner 2.4GD-6 autoR 677 450</t>
  </si>
  <si>
    <t>Volvo XC40 B3 EssentialR 677 700</t>
  </si>
  <si>
    <t>Citroën C5 Aircross 1.6T ShineR 683 900</t>
  </si>
  <si>
    <t>Kia Sportage 1.6T-GDi GT Line PlusR 692 995</t>
  </si>
  <si>
    <t>Toyota RAV4 2.5 Hybrid GX-R E-FourR 698 700</t>
  </si>
  <si>
    <t>Opel Grandland X 1.6T EleganceR 701 900</t>
  </si>
  <si>
    <t>Subaru Forester 2.5i-S ESR 708 000</t>
  </si>
  <si>
    <t>Audi Q3 35TFSI S lineR 708 400</t>
  </si>
  <si>
    <t>Toyota Fortuner 2.4GD-6 4x4R 709 750</t>
  </si>
  <si>
    <t>Volkswagen Tiguan Allspace 1.4TSI 110kW LifeR 712 800</t>
  </si>
  <si>
    <t>Volvo XC40 B4 EssentialR 718 900</t>
  </si>
  <si>
    <t>Volkswagen Tiguan 1.4TSI 110kW R-LineR 722 300</t>
  </si>
  <si>
    <t>Mitsubishi Pajero Sport 2.4DI-DR 724 990</t>
  </si>
  <si>
    <t>Isuzu mu-X 3.0TD LSR 725 500</t>
  </si>
  <si>
    <t>Volvo XC40 B3 Plus DarkR 728 400</t>
  </si>
  <si>
    <t>Mazda CX-5 2.5 AWD IndividualR 729 500</t>
  </si>
  <si>
    <t>Audi Q3 Sportback 35TFSI S lineR 734 000</t>
  </si>
  <si>
    <t>Hyundai Tucson 2.0D EliteR 734 900</t>
  </si>
  <si>
    <t>Volvo XC40 B3 Plus BrightR 736 700</t>
  </si>
  <si>
    <t>Honda CR-V 1.5T ExecutiveR 737 700</t>
  </si>
  <si>
    <t>Peugeot 3008 1.6T GTR 739 900</t>
  </si>
  <si>
    <t>Audi Q3 40TFSI quattro AdvancedR 741 900</t>
  </si>
  <si>
    <t>Mitsubishi Pajero Sport 2.4DI-D AspireR 744 990</t>
  </si>
  <si>
    <t>BMW X2 sDrive18i M SportR 747 286</t>
  </si>
  <si>
    <t>MINI Cooper S CountrymanR 748 981</t>
  </si>
  <si>
    <t>Kia Sportage 1.6T-GDi GT Line SR 749 995</t>
  </si>
  <si>
    <t>BMW X1 sDrive18i xLineR 753 045</t>
  </si>
  <si>
    <t>Audi Q3 40TFSI quattro S lineR 755 900</t>
  </si>
  <si>
    <t>Toyota RAV4 2.5 VX AWDR 763 100</t>
  </si>
  <si>
    <t>MINI Cooper S Countryman Untamed EditionR 764 581</t>
  </si>
  <si>
    <t>Mazda CX-5 2.2DE AWD AkeraR 765 300</t>
  </si>
  <si>
    <t>Volkswagen Tiguan Allspace 1.4TSI 110kW R-LineR 767 400</t>
  </si>
  <si>
    <t>Volvo XC40 B4 Plus DarkR 769 700</t>
  </si>
  <si>
    <t>Volkswagen Tiguan Allspace 2.0TSI 132kW 4Motion StyleR 774 100</t>
  </si>
  <si>
    <t>Mitsubishi Pajero Sport 2.4DI-D 4x4R 774 990</t>
  </si>
  <si>
    <t>Volvo XC40 B4 Plus BrightR 777 900</t>
  </si>
  <si>
    <t>Hyundai Kona NR 779 900</t>
  </si>
  <si>
    <t>Audi Q3 Sportback 40TFSI quattro S lineR 781 500</t>
  </si>
  <si>
    <t>Peugeot 5008 1.6T GTR 782 900</t>
  </si>
  <si>
    <t>Toyota RAV4 2.5 Hybrid VX E-FourR 785 400</t>
  </si>
  <si>
    <t>BMW X2 sDrive20i M SportR 786 527</t>
  </si>
  <si>
    <t>BMW X1 sDrive18d xLineR 790 617</t>
  </si>
  <si>
    <t>BMW X1 sDrive18i M SportR 793 045</t>
  </si>
  <si>
    <t>Toyota Fortuner 2.8GD-6R 794 600</t>
  </si>
  <si>
    <t>Volkswagen Tiguan 2.0TDI 130kW 4Motion R-LineR 794 800</t>
  </si>
  <si>
    <t>Mitsubishi Pajero Sport 2.4DI-D 4x4 AspireR 794 990</t>
  </si>
  <si>
    <t>Isuzu mu-X 3.0TD LSER 795 000</t>
  </si>
  <si>
    <t>Volkswagen Tiguan 2.0TSI 162kW 4Motion R-LineR 795 900</t>
  </si>
  <si>
    <t>Alfa Romeo Tonale 1.5T Hybrid SpecialeR 799 900</t>
  </si>
  <si>
    <t>Isuzu mu-X 3.0TD LS 4x4R 806 400</t>
  </si>
  <si>
    <t>Lexus UX 250h EXR 808 600</t>
  </si>
  <si>
    <t>Mitsubishi Pajero Sport 2.4DI-D 4x4 ExceedR 809 990</t>
  </si>
  <si>
    <t>Toyota FJ CruiserR 813 000</t>
  </si>
  <si>
    <t>Toyota Land Cruiser 78 4.2D WagonR 818 300</t>
  </si>
  <si>
    <t>Honda CR-V 1.5T Exclusive AWDR 818 700</t>
  </si>
  <si>
    <t>Alfa Romeo Tonale 1.5T Hybrid VeloceR 819 900</t>
  </si>
  <si>
    <t>BMW X1 sDrive18d M SportR 830 617</t>
  </si>
  <si>
    <t>Kia Sorento 2.2CRDi EX+R 834 995</t>
  </si>
  <si>
    <t>Toyota Fortuner 2.8GD-6 VXR 837 800</t>
  </si>
  <si>
    <t>Volkswagen Tiguan Allspace 2.0TSI 162kW 4Motion R-LineR 838 300</t>
  </si>
  <si>
    <t>Volvo XC40 B5 AWD Plus DarkR 840 000</t>
  </si>
  <si>
    <t>Mercedes-Benz GLA200 ProgressiveR 847 226</t>
  </si>
  <si>
    <t>Volvo XC40 B5 AWD Plus BrightR 847 400</t>
  </si>
  <si>
    <t>Hyundai Santa Fe 2.2D ExecutiveR 856 900</t>
  </si>
  <si>
    <t>Toyota Fortuner 2.8GD-6 4x4R 873 500</t>
  </si>
  <si>
    <t>Kia Sorento 2.2CRDi AWD EX+R 874 995</t>
  </si>
  <si>
    <t>Mercedes-Benz GLA200 AMG LineR 876 226</t>
  </si>
  <si>
    <t>Mercedes-Benz GLA200d ProgressiveR 883 568</t>
  </si>
  <si>
    <t>Lexus UX 250h SER 891 800</t>
  </si>
  <si>
    <t>Isuzu mu-X 3.0TD Onyx 4x4R 895 900</t>
  </si>
  <si>
    <t>Lexus NX 250 AWD EXR 912 400</t>
  </si>
  <si>
    <t>Mercedes-Benz GLA200d AMG LineR 912 568</t>
  </si>
  <si>
    <t>Toyota Fortuner 2.8GD-6 4x4 VXR 915 400</t>
  </si>
  <si>
    <t>Kia Sorento 2.2CRDi AWD SXR 939 995</t>
  </si>
  <si>
    <t>Lexus NX 350h AWD EXR 942 700</t>
  </si>
  <si>
    <t>Audi Q5 40TDI quattroR 944 700</t>
  </si>
  <si>
    <t>Lexus UX 250h F SportR 947 500</t>
  </si>
  <si>
    <t>MINI John Cooper Works ALL4 CountrymanR 953 739</t>
  </si>
  <si>
    <t>BMW X3 sDrive18dR 957 224</t>
  </si>
  <si>
    <t>Volvo XC60 B5 AWD EssentialR 957 900</t>
  </si>
  <si>
    <t>BMW X2 M35iR 961 081</t>
  </si>
  <si>
    <t>Toyota Land Cruiser 76 4.5D-4D LX V8 Station WagonR 963 400</t>
  </si>
  <si>
    <t>Hyundai Santa Fe 2.2D 4WD EliteR 964 900</t>
  </si>
  <si>
    <t>Ford Everest 2.0 BiTurbo 4x4 SportR 965 400</t>
  </si>
  <si>
    <t>Audi Q5 40TDI quattro S lineR 989 700</t>
  </si>
  <si>
    <t>BMW X3 sDrive18d M SportR 997 224</t>
  </si>
  <si>
    <t>Mercedes-Benz GLB220d 4Matic ProgressiveR 998 388</t>
  </si>
  <si>
    <t>Volvo XC60 B5 AWD Plus DarkR 999 700</t>
  </si>
  <si>
    <t>Jeep Wrangler Unlimited 3.6 SportR 999 900</t>
  </si>
  <si>
    <t>Mercedes-Benz GLB250 ProgressiveR 1 012 287</t>
  </si>
  <si>
    <t>Volkswagen Tiguan RR 1 014 900</t>
  </si>
  <si>
    <t>BMW X3 sDrive20iR 1 015 778</t>
  </si>
  <si>
    <t>Kia Sorento 2.2CRDi AWD SXLR 1 019 995</t>
  </si>
  <si>
    <t>Volvo XC60 B5 AWD Plus BrightR 1 025 700</t>
  </si>
  <si>
    <t>Mercedes-Benz GLB220d 4Matic AMG LineR 1 036 388</t>
  </si>
  <si>
    <t>Audi Q5 Sportback 40TDI quattro AdvancedR 1 038 700</t>
  </si>
  <si>
    <t>Audi Q5 45TFSI quattro S lineR 1 048 500</t>
  </si>
  <si>
    <t>Jeep Wrangler 3.6 RubiconR 1 049 900</t>
  </si>
  <si>
    <t>Mercedes-Benz GLB250 AMG LineR 1 050 287</t>
  </si>
  <si>
    <t>BMW X3 sDrive20i M SportR 1 055 778</t>
  </si>
  <si>
    <t>Volvo XC60 B6 AWD Plus DarkR 1 063 800</t>
  </si>
  <si>
    <t>BMW X3 xDrive20dR 1 065 394</t>
  </si>
  <si>
    <t>Hyundai Palisade 2.2D 4WD EliteR 1 066 900</t>
  </si>
  <si>
    <t>Volvo XC40 P6 Recharge PlusR 1 075 000</t>
  </si>
  <si>
    <t>Audi Q5 Sportback 40TDI quattro S lineR 1 077 700</t>
  </si>
  <si>
    <t>Toyota Land Cruiser Prado 2.8GD TXR 1 079 700</t>
  </si>
  <si>
    <t>Jaguar E-Pace D200 AWD R-Dynamic SER 1 087 000</t>
  </si>
  <si>
    <t>Volvo XC60 B6 AWD Plus BrightR 1 089 800</t>
  </si>
  <si>
    <t>Jeep Wrangler Unlimited 3.6 RubiconR 1 099 900</t>
  </si>
  <si>
    <t>Lexus NX 350h AWD SER 1 104 100</t>
  </si>
  <si>
    <t>BMW X3 xDrive20d M SportR 1 105 394</t>
  </si>
  <si>
    <t>Land Rover Discovery Sport D200 Urban EditionR 1 108 500</t>
  </si>
  <si>
    <t>Porsche MacanR 1 112 000</t>
  </si>
  <si>
    <t>Ford Everest 3.0 V6 4WD PlatinumR 1 113 100</t>
  </si>
  <si>
    <t>Land Rover Discovery Sport P250 Urban EditionR 1 113 600</t>
  </si>
  <si>
    <t>Mercedes-Benz GLC220d 4MaticR 1 124 312</t>
  </si>
  <si>
    <t>Land Rover Discovery Sport D200 R-Dynamic SER 1 125 100</t>
  </si>
  <si>
    <t>Land Rover Range Rover Evoque D200 Bronze CollectionR 1 126 400</t>
  </si>
  <si>
    <t>Land Rover Discovery Sport P250 R-Dynamic SER 1 130 200</t>
  </si>
  <si>
    <t>Lexus NX 350h AWD F SportR 1 130 400</t>
  </si>
  <si>
    <t>Land Rover Range Rover Evoque P250 Bronze CollectionR 1 131 800</t>
  </si>
  <si>
    <t>Audi Q5 Sportback 45TFSI quattro S lineR 1 136 500</t>
  </si>
  <si>
    <t>Lexus NX 350 AWD F SportR 1 140 900</t>
  </si>
  <si>
    <t>Land Rover Range Rover Evoque D200 R-Dynamic SER 1 143 200</t>
  </si>
  <si>
    <t>Land Rover Range Rover Evoque P250 R-Dynamic SER 1 148 600</t>
  </si>
  <si>
    <t>BMW X4 xDrive20dR 1 152 894</t>
  </si>
  <si>
    <t>Land Rover Discovery Sport D200 R-Dynamic HSER 1 154 500</t>
  </si>
  <si>
    <t>Jaguar E-Pace D200 AWD R-Dynamic HSER 1 155 000</t>
  </si>
  <si>
    <t>Mercedes-Benz GLC220d Coupé 4MaticR 1 156 053</t>
  </si>
  <si>
    <t>Land Rover Discovery Sport P250 R-Dynamic HSER 1 159 600</t>
  </si>
  <si>
    <t>Mercedes-Benz EQA 250 ProgressiveR 1 174 000</t>
  </si>
  <si>
    <t>Toyota Land Cruiser Prado 4.0 VXR 1 183 600</t>
  </si>
  <si>
    <t>BMW X4 xDrive20d M SportR 1 192 894</t>
  </si>
  <si>
    <t>Audi RSQ3 quattroR 1 195 900</t>
  </si>
  <si>
    <t>Land Rover Range Rover Evoque D200 R-Dynamic HSER 1 196 500</t>
  </si>
  <si>
    <t>Mercedes-Benz GLC300d Coupé 4MaticR 1 200 313</t>
  </si>
  <si>
    <t>Land Rover Range Rover Evoque P250 R-Dynamic HSER 1 201 900</t>
  </si>
  <si>
    <t>Alfa Romeo Stelvio 2.0T Veloce Q4R 1 204 900</t>
  </si>
  <si>
    <t>Lexus RX 350 EXR 1 206 700</t>
  </si>
  <si>
    <t>Mercedes-Benz GLC220d 4Matic AMG LineR 1 206 905</t>
  </si>
  <si>
    <t>Mercedes-Benz GLC220d Coupé 4Matic AMG LineR 1 209 953</t>
  </si>
  <si>
    <t>Porsche Macan TR 1 215 000</t>
  </si>
  <si>
    <t>Toyota Land Cruiser Prado 2.8GD VXR 1 220 000</t>
  </si>
  <si>
    <t>Mercedes-Benz EQA 250 AMG LineR 1 227 000</t>
  </si>
  <si>
    <t>Audi RSQ3 Sportback quattroR 1 232 300</t>
  </si>
  <si>
    <t>Toyota Land Cruiser Prado 4.0 VX-LR 1 233 800</t>
  </si>
  <si>
    <t>Mercedes-Benz GLC300 Coupé 4MaticR 1 239 035</t>
  </si>
  <si>
    <t>Mercedes-Benz GLC300 4MaticR 1 243 323</t>
  </si>
  <si>
    <t>Mercedes-Benz GLC300d Coupé 4Matic AMG LineR 1 254 213</t>
  </si>
  <si>
    <t>BMW X3 xDrive30dR 1 256 840</t>
  </si>
  <si>
    <t>Volvo XC40 P8 Recharge Twin AWD UltimateR 1 260 000</t>
  </si>
  <si>
    <t>Land Rover Range Rover Evoque D200 AutobiographyR 1 268 700</t>
  </si>
  <si>
    <t>Toyota Land Cruiser Prado 2.8GD VX-LR 1 271 900</t>
  </si>
  <si>
    <t>Land Rover Range Rover Evoque P250 AutobiographyR 1 274 100</t>
  </si>
  <si>
    <t>Audi SQ5 TFSI quattroR 1 278 500</t>
  </si>
  <si>
    <t>Volvo XC60 T8 Recharge AWD Plus DarkR 1 284 000</t>
  </si>
  <si>
    <t>Mercedes-Benz GLC300 Coupé 4Matic AMG LineR 1 292 935</t>
  </si>
  <si>
    <t>Volvo C40 P8 Recharge Twin AWD UltimateR 1 295 000</t>
  </si>
  <si>
    <t>Lexus RX 350L EXR 1 295 900</t>
  </si>
  <si>
    <t>BMW X3 xDrive30d M SportR 1 296 840</t>
  </si>
  <si>
    <t>BMW iX3 M SportR 1 306 400</t>
  </si>
  <si>
    <t>Volvo XC60 T8 Recharge AWD Plus BrightR 1 310 000</t>
  </si>
  <si>
    <t>Land Rover Defender 90 D240 SER 1 311 500</t>
  </si>
  <si>
    <t>Volvo XC90 B5 AWD EssentialR 1 312 500</t>
  </si>
  <si>
    <t>Mercedes-Benz GLC300d 4MaticR 1 323 894</t>
  </si>
  <si>
    <t>Mercedes-Benz GLC300 4Matic AMG LineR 1 325 916</t>
  </si>
  <si>
    <t>Jeep Grand Cherokee L 3.6 4x4 LimitedR 1 329 900</t>
  </si>
  <si>
    <t>Volkswagen Touareg V6 TDI LuxuryR 1 331 800</t>
  </si>
  <si>
    <t>Porsche Macan SR 1 337 000</t>
  </si>
  <si>
    <t>Land Rover Defender 110 D240 SER 1 345 500</t>
  </si>
  <si>
    <t>Lexus RX 350 F SportR 1 349 500</t>
  </si>
  <si>
    <t>Jaguar F-Pace D200 AWD R-Dynamic SER 1 357 000</t>
  </si>
  <si>
    <t>Toyota Land Cruiser 300 3.3D GX-RR 1 375 100</t>
  </si>
  <si>
    <t>Mercedes-Benz EQB 350 4Matic ProgressiveR 1 379 000</t>
  </si>
  <si>
    <t>Audi SQ5 Sportback TFSI quattroR 1 405 500</t>
  </si>
  <si>
    <t>Mercedes-Benz GLC300d 4Matic AMG LineR 1 406 487</t>
  </si>
  <si>
    <t>Volvo XC90 B5 AWD Plus DarkR 1 408 500</t>
  </si>
  <si>
    <t>Jaguar F-Pace D300 AWD R-Dynamic SER 1 416 000</t>
  </si>
  <si>
    <t>Jaguar F-Pace D200 AWD R-Dynamic HSER 1 417 000</t>
  </si>
  <si>
    <t>Mercedes-Benz EQB 350 4Matic AMG LineR 1 432 000</t>
  </si>
  <si>
    <t>Land Rover Defender 90 D240 XS EditionR 1 439 500</t>
  </si>
  <si>
    <t>Land Rover Defender 110 D300 SER 1 443 600</t>
  </si>
  <si>
    <t>Land Rover Defender 110 D240 X-Dynamic SER 1 449 500</t>
  </si>
  <si>
    <t>Volvo XC90 B6 AWD Plus DarkR 1 463 900</t>
  </si>
  <si>
    <t>BMW X3 M40iR 1 468 146</t>
  </si>
  <si>
    <t>Land Rover Range Rover Evoque P300e Bronze CollectionR 1 469 700</t>
  </si>
  <si>
    <t>Land Rover Defender 110 D240 XS EditionR 1 470 500</t>
  </si>
  <si>
    <t>Land Rover Defender 90 D240 X-Dynamic HSER 1 474 500</t>
  </si>
  <si>
    <t>Jaguar F-Pace D300 AWD R-Dynamic HSER 1 477 000</t>
  </si>
  <si>
    <t>Jaguar E-Pace P300e AWD R-Dynamic SER 1 478 000</t>
  </si>
  <si>
    <t>Land Rover Range Rover Evoque P300e R-Dynamic SER 1 483 600</t>
  </si>
  <si>
    <t>Land Rover Defender 90 D300 X-Dynamic SER 1 494 600</t>
  </si>
  <si>
    <t>Land Rover Discovery Sport P300e R-Dynamic SER 1 494 700</t>
  </si>
  <si>
    <t>Land Rover Defender 110 D240 X-Dynamic HSER 1 511 500</t>
  </si>
  <si>
    <t>Ineos Grenadier 3.0TDR 1 513 100</t>
  </si>
  <si>
    <t>Land Rover Range Rover Velar D200 Dynamic SER 1 519 000</t>
  </si>
  <si>
    <t>Audi Q7 45TDI quattroR 1 520 000</t>
  </si>
  <si>
    <t>Mercedes-Benz EQB 350 4Matic Edition 1R 1 523 400</t>
  </si>
  <si>
    <t>Jeep Grand Cherokee L 3.6 4x4 OverlandR 1 529 900</t>
  </si>
  <si>
    <t>Land Rover Discovery Sport P300e R-Dynamic HSER 1 534 200</t>
  </si>
  <si>
    <t>Land Rover Defender 110 D300 X-Dynamic SER 1 535 600</t>
  </si>
  <si>
    <t>Jaguar E-Pace P300e AWD R-Dynamic HSER 1 541 000</t>
  </si>
  <si>
    <t>Land Rover Range Rover Evoque P300e R-Dynamic HSER 1 542 000</t>
  </si>
  <si>
    <t>Porsche CayenneR 1 545 000</t>
  </si>
  <si>
    <t>BMW X4 M40iR 1 558 146</t>
  </si>
  <si>
    <t>Land Rover Defender 90 D300 X-Dynamic HSER 1 561 600</t>
  </si>
  <si>
    <t>Audi Q7 45TDI quattro S lineR 1 565 000</t>
  </si>
  <si>
    <t>Lexus RX 450h SER 1 567 800</t>
  </si>
  <si>
    <t>Land Rover Defender 110 D300 X-Dynamic HSER 1 598 600</t>
  </si>
  <si>
    <t>BMW X5 xDrive30dR 1 603 510</t>
  </si>
  <si>
    <t>Land Rover Defender 90 P400 X-Dynamic HSER 1 607 700</t>
  </si>
  <si>
    <t>Mercedes-AMG GLC43 Coupé 4MaticR 1 608 193</t>
  </si>
  <si>
    <t>Porsche Macan GTSR 1 617 000</t>
  </si>
  <si>
    <t>Land Rover Discovery D300 SR 1 617 900</t>
  </si>
  <si>
    <t>Land Rover Discovery P360 SR 1 618 700</t>
  </si>
  <si>
    <t>Volkswagen Touareg V6 TDI Executive R-LineR 1 622 800</t>
  </si>
  <si>
    <t>Mercedes-Benz GLE300d 4MaticR 1 623 789</t>
  </si>
  <si>
    <t>Porsche Cayenne CoupéR 1 627 000</t>
  </si>
  <si>
    <t>Ineos Grenadier 3.0TD Fieldmaster EditionR 1 630 560</t>
  </si>
  <si>
    <t>BMW X5 xDrive45e xLineR 1 638 000</t>
  </si>
  <si>
    <t>Land Rover Defender 110 P400 X-Dynamic HSER 1 642 700</t>
  </si>
  <si>
    <t>Maserati Grecale GTR 1 650 000</t>
  </si>
  <si>
    <t>BMW X5 xDrive30d M SportR 1 650 510</t>
  </si>
  <si>
    <t>Land Rover Range Rover Velar D200 Dynamic HSER 1 653 000</t>
  </si>
  <si>
    <t>BMW X5 xDrive45e M SportR 1 659 400</t>
  </si>
  <si>
    <t>Volvo XC90 T8 Recharge AWD Plus DarkR 1 663 000</t>
  </si>
  <si>
    <t>Audi Q8 45TDI quattroR 1 672 700</t>
  </si>
  <si>
    <t>Mercedes-Benz EQC 400 4Matic AMG LineR 1 679 000</t>
  </si>
  <si>
    <t>Nissan Patrol 5.6 V8 LE 4WDR 1 683 900</t>
  </si>
  <si>
    <t>Land Rover Range Rover Velar D300 Dynamic SER 1 690 000</t>
  </si>
  <si>
    <t>Mercedes-Benz GLE300d 4Matic AMG LineR 1 699 589</t>
  </si>
  <si>
    <t>Mercedes-Benz GLE450 4MaticR 1 701 520</t>
  </si>
  <si>
    <t>BMW X6 xDrive30dR 1 704 269</t>
  </si>
  <si>
    <t>Porsche Cayenne SR 1 709 000</t>
  </si>
  <si>
    <t>Audi Q8 55TFSI quattroR 1 714 900</t>
  </si>
  <si>
    <t>Jeep Grand Cherokee L 3.6 4x4 Summit ReserveR 1 724 900</t>
  </si>
  <si>
    <t>BMW X6 xDrive40iR 1 730 850</t>
  </si>
  <si>
    <t>BMW iX xDrive40R 1 735 000</t>
  </si>
  <si>
    <t>Land Rover Discovery D300 R-Dynamic SER 1 739 900</t>
  </si>
  <si>
    <t>Porsche Cayenne Platinum EditionR 1 740 000</t>
  </si>
  <si>
    <t>Land Rover Discovery P360 R-Dynamic SER 1 740 700</t>
  </si>
  <si>
    <t>Audi e-tron 55 quattroR 1 745 000</t>
  </si>
  <si>
    <t>BMW X6 xDrive30d M SportR 1 751 269</t>
  </si>
  <si>
    <t>Land Rover Defender 130 D300 X-Dynamic HSER 1 754 600</t>
  </si>
  <si>
    <t>Land Rover Defender 130 D300 First EditionR 1 758 600</t>
  </si>
  <si>
    <t>Porsche Cayenne Coupé Platinum EditionR 1 760 000</t>
  </si>
  <si>
    <t>Land Rover Defender 90 D300 XR 1 761 600</t>
  </si>
  <si>
    <t>Mercedes-Benz GLE400d 4MaticR 1 761 993</t>
  </si>
  <si>
    <t>Land Rover Defender 90 D300 75 Years / 75th Limited EditionR 1 762 600</t>
  </si>
  <si>
    <t>Mercedes-Benz GLE450 4Matic AMG LineR 1 777 320</t>
  </si>
  <si>
    <t>BMW X6 xDrive40i M SportR 1 777 850</t>
  </si>
  <si>
    <t>Land Rover Range Rover Velar P340 Dynamic HSER 1 788 000</t>
  </si>
  <si>
    <t>Porsche Cayenne S CoupéR 1 790 000</t>
  </si>
  <si>
    <t>Land Rover Defender 130 P400 X-Dynamic HSER 1 798 500</t>
  </si>
  <si>
    <t>Land Rover Defender 90 P400 XR 1 799 700</t>
  </si>
  <si>
    <t>Land Rover Defender 110 D300 75 Years / 75th Limited EditionR 1 801 600</t>
  </si>
  <si>
    <t>Land Rover Defender 130 P400 First EditionR 1 803 500</t>
  </si>
  <si>
    <t>Land Rover Range Rover Velar D300 Dynamic HSER 1 809 000</t>
  </si>
  <si>
    <t>Land Rover Defender 110 P400e X-Dynamic SER 1 811 300</t>
  </si>
  <si>
    <t>Land Rover Defender 90 P400 75 Years / 75th Limited EditionR 1 811 700</t>
  </si>
  <si>
    <t>Jaguar F-Pace P400e AWD R-Dynamic SER 1 815 000</t>
  </si>
  <si>
    <t>Land Rover Defender 110 D300 XR 1 826 600</t>
  </si>
  <si>
    <t>Mercedes-Benz GLE400d 4Matic AMG LineR 1 837 793</t>
  </si>
  <si>
    <t>Land Rover Defender 110 P400 75 Years / 75th Limited EditionR 1 845 700</t>
  </si>
  <si>
    <t>Porsche Cayenne GTSR 1 851 000</t>
  </si>
  <si>
    <t>Land Rover Discovery D300 R-Dynamic HSER 1 860 900</t>
  </si>
  <si>
    <t>Land Rover Discovery P360 R-Dynamic HSER 1 861 700</t>
  </si>
  <si>
    <t>Jaguar F-Pace P400e AWD R-Dynamic HSER 1 869 000</t>
  </si>
  <si>
    <t>Land Rover Defender 110 P400e X-Dynamic HSER 1 874 300</t>
  </si>
  <si>
    <t>Land Rover Defender 110 P400 XR 1 875 700</t>
  </si>
  <si>
    <t>Toyota Land Cruiser 300 3.3D ZXR 1 892 000</t>
  </si>
  <si>
    <t>Land Rover Range Rover Velar P400e Dynamic SER 1 905 000</t>
  </si>
  <si>
    <t>Porsche Cayenne S Coupé Platinum EditionR 1 912 000</t>
  </si>
  <si>
    <t>Land Rover Discovery D300 Metropolitan EditionR 1 916 900</t>
  </si>
  <si>
    <t>Land Rover Discovery P360 Metropolitan EditionR 1 917 700</t>
  </si>
  <si>
    <t>Porsche Cayenne GTS CoupéR 1 922 000</t>
  </si>
  <si>
    <t>Land Rover Defender 130 D300 XR 1 924 600</t>
  </si>
  <si>
    <t>Toyota Land Cruiser 300 3.5T ZXR 1 925 800</t>
  </si>
  <si>
    <t>Alfa Romeo Stelvio Quadrifoglio Q4R 1 936 900</t>
  </si>
  <si>
    <t>Toyota Land Cruiser 300 3.3D GR-SportR 1 941 700</t>
  </si>
  <si>
    <t>Porsche Cayenne e-hybridR 1 949 000</t>
  </si>
  <si>
    <t>Land Rover Defender 110 P400e XR 1 949 300</t>
  </si>
  <si>
    <t>Maserati Grecale ModenaR 1 950 000</t>
  </si>
  <si>
    <t>BMW X7 xDrive40d Design Pure ExcellenceR 1 962 457</t>
  </si>
  <si>
    <t>Land Rover Defender 130 P400 XR 1 974 500</t>
  </si>
  <si>
    <t>Toyota Land Cruiser 300 3.5T GR-SportR 1 974 900</t>
  </si>
  <si>
    <t>BMW X5 M50dR 1 984 573</t>
  </si>
  <si>
    <t>Jaguar F-Pace SVRR 1 995 000</t>
  </si>
  <si>
    <t>BMW X5 M50iR 1 995 502</t>
  </si>
  <si>
    <t>Land Rover Range Rover Velar P400e Dynamic HSER 2 008 000</t>
  </si>
  <si>
    <t>Land Rover Range Rover Sport D350 Dynamic SR 2 020 100</t>
  </si>
  <si>
    <t>Land Rover Range Rover Sport P400 Dynamic SR 2 023 600</t>
  </si>
  <si>
    <t>BMW X7 xDrive40d M SportR 2 037 457</t>
  </si>
  <si>
    <t>Mercedes-Benz GLS400d 4MaticR 2 041 243</t>
  </si>
  <si>
    <t>Audi e-tron 55 quattro S lineR 2 045 000</t>
  </si>
  <si>
    <t>Mercedes-Benz GLE400d Coupé 4Matic AMG LineR 2 064 107</t>
  </si>
  <si>
    <t>BMW X3 M competitionR 2 072 618</t>
  </si>
  <si>
    <t>Land Rover Range Rover Sport D350 Dynamic SER 2 081 000</t>
  </si>
  <si>
    <t>Land Rover Range Rover Sport P400 Dynamic SER 2 084 500</t>
  </si>
  <si>
    <t>Porsche Cayenne e-hybrid Platinum EditionR 2 089 000</t>
  </si>
  <si>
    <t>BMW X6 M50dR 2 104 573</t>
  </si>
  <si>
    <t>Audi e-tron Sportback 55 quattro S lineR 2 115 000</t>
  </si>
  <si>
    <t>BMW X6 M50iR 2 115 502</t>
  </si>
  <si>
    <t>Porsche Cayenne e-hybrid Coupé Platinum EditionR 2 119 000</t>
  </si>
  <si>
    <t>BMW X4 M competitionR 2 162 618</t>
  </si>
  <si>
    <t>Mercedes-Benz GLS400d 4Matic AMG LineR 2 167 343</t>
  </si>
  <si>
    <t>Maserati Levante GTR 2 175 000</t>
  </si>
  <si>
    <t>Mercedes-AMG GLE53 4Matic+R 2 180 414</t>
  </si>
  <si>
    <t>Land Rover Range Rover Sport D350 Dynamic HSER 2 208 100</t>
  </si>
  <si>
    <t>Mercedes-AMG GLE53 Coupé 4Matic+R 2 218 611</t>
  </si>
  <si>
    <t>Jaguar I-Pace EV400 AWD R-Dynamic HSER 2 249 000</t>
  </si>
  <si>
    <t>BMW iX xDrive50R 2 270 000</t>
  </si>
  <si>
    <t>Land Rover Range Rover Sport D350 AutobiographyR 2 271 200</t>
  </si>
  <si>
    <t>Mercedes-AMG GLC63 S Coupé 4Matic+R 2 290 522</t>
  </si>
  <si>
    <t>Land Rover Range Rover Sport D350 First EditionR 2 300 600</t>
  </si>
  <si>
    <t>BMW X7 M60i xDriveR 2 316 574</t>
  </si>
  <si>
    <t>Mercedes-Benz GLS580 4MaticR 2 338 552</t>
  </si>
  <si>
    <t>Lexus LX 500dR 2 341 000</t>
  </si>
  <si>
    <t>Lexus LX 500d F SportR 2 350 200</t>
  </si>
  <si>
    <t>Lexus LX 600 F SportR 2 383 800</t>
  </si>
  <si>
    <t>Lexus LX 600R 2 398 000</t>
  </si>
  <si>
    <t>Audi e-tron S Sportback quattroR 2 425 000</t>
  </si>
  <si>
    <t>Mercedes-Benz GLS580 4Matic AMG LineR 2 435 652</t>
  </si>
  <si>
    <t>Land Rover Defender 90 V8R 2 528 600</t>
  </si>
  <si>
    <t>Maserati Grecale TrofeoR 2 550 000</t>
  </si>
  <si>
    <t>Audi RSQ8 quattroR 2 625 000</t>
  </si>
  <si>
    <t>Land Rover Defender 90 V8 Carpathian EditionR 2 628 600</t>
  </si>
  <si>
    <t>Porsche Cayenne turboR 2 635 000</t>
  </si>
  <si>
    <t>Land Rover Defender 110 V8R 2 648 600</t>
  </si>
  <si>
    <t>Porsche Cayenne turbo CoupéR 2 706 000</t>
  </si>
  <si>
    <t>Land Rover Defender 110 V8 Carpathian EditionR 2 749 600</t>
  </si>
  <si>
    <t>Land Rover Range Rover Sport P510e AutobiographyR 2 780 600</t>
  </si>
  <si>
    <t>Lexus LX 600 VIPR 2 787 500</t>
  </si>
  <si>
    <t>Land Rover Range Rover Sport P510e First EditionR 2 810 100</t>
  </si>
  <si>
    <t>Land Rover Range Rover D350 SER 2 848 600</t>
  </si>
  <si>
    <t>Maserati Levante ModenaR 2 875 000</t>
  </si>
  <si>
    <t>Mercedes-Benz G400d AMG LineR 2 893 333</t>
  </si>
  <si>
    <t>BMW X5 M competitionR 2 928 994</t>
  </si>
  <si>
    <t>Land Rover Range Rover D350 HSER 2 966 600</t>
  </si>
  <si>
    <t>Land Rover Range Rover D350 SE L 7 seatsR 2 967 600</t>
  </si>
  <si>
    <t>BMW X6 M competitionR 3 028 842</t>
  </si>
  <si>
    <t>Land Rover Range Rover Sport P530 First EditionR 3 042 500</t>
  </si>
  <si>
    <t>Land Rover Range Rover P530 HSER 3 148 600</t>
  </si>
  <si>
    <t>Porsche Cayenne turbo S e-hybridR 3 277 000</t>
  </si>
  <si>
    <t>Mercedes-AMG GLE63 S 4Matic+R 3 337 137</t>
  </si>
  <si>
    <t>Porsche Cayenne turbo S e-hybrid CoupéR 3 358 000</t>
  </si>
  <si>
    <t>BMW XMR 3 400 000</t>
  </si>
  <si>
    <t>Mercedes-AMG GLS63 4Matic+R 3 401 662</t>
  </si>
  <si>
    <t>Mercedes-AMG GLE63 S Coupé 4Matic+R 3 405 844</t>
  </si>
  <si>
    <t>Land Rover Range Rover D350 AutobiographyR 3 428 600</t>
  </si>
  <si>
    <t>Porsche Cayenne turbo GTR 3 500 000</t>
  </si>
  <si>
    <t>Land Rover Range Rover D350 Autobiography LR 3 513 600</t>
  </si>
  <si>
    <t>Land Rover Range Rover D350 Autobiography L 7 seatsR 3 544 600</t>
  </si>
  <si>
    <t>Land Rover Range Rover D350 First EditionR 3 556 600</t>
  </si>
  <si>
    <t>Mercedes-AMG G63R 3 561 868</t>
  </si>
  <si>
    <t>Land Rover Range Rover P530 AutobiographyR 3 610 600</t>
  </si>
  <si>
    <t>Land Rover Range Rover P510e AutobiographyR 3 637 300</t>
  </si>
  <si>
    <t>Land Rover Range Rover D350 First Edition LR 3 640 600</t>
  </si>
  <si>
    <t>Mercedes-Maybach GLS600R 3 652 592</t>
  </si>
  <si>
    <t>Land Rover Range Rover P510e First EditionR 3 693 300</t>
  </si>
  <si>
    <t>Land Rover Range Rover P530 Autobiography LR 3 695 600</t>
  </si>
  <si>
    <t>Land Rover Range Rover P530 First EditionR 3 719 600</t>
  </si>
  <si>
    <t>Land Rover Range Rover P530 Autobiography L 7 seatsR 3 726 600</t>
  </si>
  <si>
    <t>Land Rover Range Rover P530 First Edition LR 3 804 600</t>
  </si>
  <si>
    <t>Land Rover Range Rover D350 SVR 3 992 600</t>
  </si>
  <si>
    <t>Land Rover Range Rover P530 SVR 4 069 600</t>
  </si>
  <si>
    <t>Land Rover Range Rover P510e SVR 4 085 300</t>
  </si>
  <si>
    <t>Maserati Levante TrofeoR 4 250 000</t>
  </si>
  <si>
    <t>Lamborghini Urus SR 4 395 000</t>
  </si>
  <si>
    <t>Land Rover Range Rover D350 SV LR 4 426 600</t>
  </si>
  <si>
    <t>Bentley Bentayga V8R 4 480 000</t>
  </si>
  <si>
    <t>Land Rover Range Rover P530 SV LR 4 504 600</t>
  </si>
  <si>
    <t>Lamborghini Urus PerformanteR 4 795 000</t>
  </si>
  <si>
    <t>Bentley Bentayga SR 5 310 000</t>
  </si>
  <si>
    <t>Bentley Bentayga AzureR 5 390 000</t>
  </si>
  <si>
    <t>Bentley Bentayga EWB AzureR 5 770 000</t>
  </si>
  <si>
    <t>Bentley Bentayga SpeedR 5 820 000</t>
  </si>
  <si>
    <t>Nissan NP200 1.6i safety packR 212 500</t>
  </si>
  <si>
    <t>Nissan NP200 1.6i safety pack (aircon)R 230 900</t>
  </si>
  <si>
    <t>GWM Steed 5 2.2MPi Single Cab WorkhorseR 233 950</t>
  </si>
  <si>
    <t>Mahindra Pik Up 2.2CRDe Single Cab S4R 263 999</t>
  </si>
  <si>
    <t>GWM Steed 5 2.0VGT Single Cab SR 299 950</t>
  </si>
  <si>
    <t>Mahindra Pik Up 2.2CRDe Single Cab 4x4 S4R 302 999</t>
  </si>
  <si>
    <t>GWM Steed 5 2.0VGT Single Cab S 4WDR 330 950</t>
  </si>
  <si>
    <t>Mahindra Pik Up 2.2CRDe Single Cab S6R 331 999</t>
  </si>
  <si>
    <t>Toyota Hilux 2.0 Single Cab SR 336 100</t>
  </si>
  <si>
    <t>Isuzu D-Max Gen 6 250c Single CabR 340 000</t>
  </si>
  <si>
    <t>Nissan Navara 2.5 Single Cab XER 344 900</t>
  </si>
  <si>
    <t>GWM Steed 5 2.0VGT Single Cab SX 4WDR 344 950</t>
  </si>
  <si>
    <t>JAC T6 2.0VVT Double Cab LuxR 354 900</t>
  </si>
  <si>
    <t>Isuzu D-Max Gen 6 250c Single Cab FleetsideR 367 500</t>
  </si>
  <si>
    <t>JAC T6 2.8TDi Double Cab LuxR 369 900</t>
  </si>
  <si>
    <t>Mahindra Pik Up 2.2CRDe Single Cab 4x4 S6R 370 999</t>
  </si>
  <si>
    <t>JAC T6 1.9TDi Double Cab ComfortR 374 900</t>
  </si>
  <si>
    <t>GWM Steed 5 2.0VGT Double Cab SXR 374 950</t>
  </si>
  <si>
    <t>Toyota Hilux 2.4GD Single Cab SR 378 900</t>
  </si>
  <si>
    <t>Nissan Navara 2.5DDTi Single Cab XER 387 200</t>
  </si>
  <si>
    <t>Mahindra Pik Up 2.2CRDe Double Cab S6R 389 999</t>
  </si>
  <si>
    <t>Isuzu D-Max Gen 6 250 Single Cab Fleetside safetyR 394 100</t>
  </si>
  <si>
    <t>GWM P-Series 2.0TD Single Cab SXR 404 950</t>
  </si>
  <si>
    <t>GWM Steed 5 2.0VGT Double Cab SX 4WDR 406 950</t>
  </si>
  <si>
    <t>Mahindra Pik Up 2.2CRDe Double Cab S6 KarooR 410 999</t>
  </si>
  <si>
    <t>Isuzu D-Max 1.9TD Single CabR 411 800</t>
  </si>
  <si>
    <t>JAC T6 2.8TDi Double Cab 4WD LuxR 419 900</t>
  </si>
  <si>
    <t>Mitsubishi Triton 2.4DI-D Single Cab GLR 419 995</t>
  </si>
  <si>
    <t>Mahindra Pik Up 2.2CRDe Double Cab S10R 420 999</t>
  </si>
  <si>
    <t>Mahindra Pik Up 2.2CRDe Double Cab 4x4 S6R 428 999</t>
  </si>
  <si>
    <t>Isuzu D-Max 1.9TD Single Cab LR 431 600</t>
  </si>
  <si>
    <t>Toyota Hilux 2.7 Single Cab SR 433 100</t>
  </si>
  <si>
    <t>GWM P-Series 2.0TD Single Cab DLXR 434 950</t>
  </si>
  <si>
    <t>GWM P-Series 2.0TD Double Cab SXR 435 950</t>
  </si>
  <si>
    <t>Mahindra Pik Up 2.2CRDe Double Cab S10 KarooR 440 999</t>
  </si>
  <si>
    <t>Mahindra Pik Up 2.2CRDe Double Cab S6 Karoo autoR 441 999</t>
  </si>
  <si>
    <t>Isuzu D-Max 1.9TD Extended cabR 444 500</t>
  </si>
  <si>
    <t>JAC T8 2.0CTi Double Cab LuxR 449 900</t>
  </si>
  <si>
    <t>Mahindra Pik Up 2.2CRDe Double Cab 4x4 S6 KarooR 449 999</t>
  </si>
  <si>
    <t>Isuzu D-Max 1.9TD Single Cab L autoR 450 200</t>
  </si>
  <si>
    <t>Mahindra Pik Up 2.2CRDe Double Cab S11R 455 999</t>
  </si>
  <si>
    <t>Isuzu D-Max 1.9TD Extended cab LR 459 800</t>
  </si>
  <si>
    <t>GWM P-Series 2.0TD Single Cab SX 4x4R 459 950</t>
  </si>
  <si>
    <t>Mahindra Pik Up 2.2CRDe Double Cab 4x4 S10R 459 999</t>
  </si>
  <si>
    <t>GWM P-Series 2.0TD Double Cab DLXR 463 950</t>
  </si>
  <si>
    <t>Ford Ranger 2.0 SiT Single Cab XLR 464 200</t>
  </si>
  <si>
    <t>Nissan Navara 2.5DDTi Single Cab SER 466 700</t>
  </si>
  <si>
    <t>Toyota Hilux 2.4GD-6 Single Cab SRR 469 200</t>
  </si>
  <si>
    <t>Ford Ranger 2.0 SiT Single Cab XL autoR 477 800</t>
  </si>
  <si>
    <t>Volkswagen Transporter 2.0TDI 81kW Single CabR 477 900</t>
  </si>
  <si>
    <t>GWM P-Series 2.0TD Double Cab SX autoR 477 950</t>
  </si>
  <si>
    <t>Mahindra Pik Up 2.2CRDe Double Cab 4x4 S10 KarooR 479 999</t>
  </si>
  <si>
    <t>Mahindra Pik Up 2.2CRDe Double Cab 4x4 S6 Karoo autoR 480 999</t>
  </si>
  <si>
    <t>Ford Ranger 2.0 SiT SuperCab XLR 485 400</t>
  </si>
  <si>
    <t>Ford Ranger 2.0 SiT Double CabR 486 000</t>
  </si>
  <si>
    <t>Mahindra Pik Up 2.2CRDe Double Cab S11 KarooR 486 999</t>
  </si>
  <si>
    <t>GWM P-Series 2.0TD Double Cab SX 4x4R 487 950</t>
  </si>
  <si>
    <t>GWM P-Series 2.0TD Single Cab DLX 4x4R 489 950</t>
  </si>
  <si>
    <t>Toyota Hilux 2.7 Double Cab SR 493 600</t>
  </si>
  <si>
    <t>Isuzu D-Max 1.9TD Extended cab LSR 494 000</t>
  </si>
  <si>
    <t>Mahindra Pik Up 2.2CRDe Double Cab 4x4 S11R 494 999</t>
  </si>
  <si>
    <t>Isuzu D-Max Gen 6 250 Double Cab Hi-RideR 496 900</t>
  </si>
  <si>
    <t>JAC T8 2.0CTi Double Cab 4WD LuxR 499 900</t>
  </si>
  <si>
    <t>Nissan Navara 2.5DDTi Single Cab LER 504 900</t>
  </si>
  <si>
    <t>GWM P-Series 2.0TD Double Cab DLX autoR 504 950</t>
  </si>
  <si>
    <t>Mitsubishi Triton 2.4DI-D Double Cab GLR 504 990</t>
  </si>
  <si>
    <t>Toyota Hilux 2.4GD-6 Single Cab RaiderR 506 900</t>
  </si>
  <si>
    <t>Isuzu D-Max 1.9TD Double Cab LR 511 400</t>
  </si>
  <si>
    <t>Isuzu D-Max 1.9TD Extended cab LS autoR 513 700</t>
  </si>
  <si>
    <t>Nissan Navara 2.5DDTi Double Cab SER 514 500</t>
  </si>
  <si>
    <t>GWM P-Series 2.0TD Double Cab DLX 4x4R 514 950</t>
  </si>
  <si>
    <t>GWM P-Series 2.0TD Double Cab LSR 515 950</t>
  </si>
  <si>
    <t>Isuzu D-Max Gen 6 250 Double Cab Hi-Ride autoR 517 700</t>
  </si>
  <si>
    <t>Toyota Hilux 2.4GD-6 Xtra Cab RaiderR 521 500</t>
  </si>
  <si>
    <t>Isuzu D-Max 1.9TD Single Cab L 4x4R 523 900</t>
  </si>
  <si>
    <t>GWM P-Series 2.0TD Double Cab SX 4x4 autoR 524 950</t>
  </si>
  <si>
    <t>Mahindra Pik Up 2.2CRDe Double Cab 4x4 S11 KarooR 525 999</t>
  </si>
  <si>
    <t>Toyota Hilux 2.4GD-6 Single Cab Raider autoR 527 600</t>
  </si>
  <si>
    <t>Ford Ranger 2.0 SiT Double Cab 4x4R 528 600</t>
  </si>
  <si>
    <t>Ford Ranger 2.0 SiT Double Cab XLR 529 900</t>
  </si>
  <si>
    <t>Isuzu D-Max 1.9TD Double Cab L autoR 530 100</t>
  </si>
  <si>
    <t>Ford Ranger 2.0 SiT Single Cab XL 4x4R 531 300</t>
  </si>
  <si>
    <t>Toyota Hilux 2.4GD-6 Double Cab SRR 534 400</t>
  </si>
  <si>
    <t>Isuzu D-Max 1.9TD Double Cab LSR 538 900</t>
  </si>
  <si>
    <t>Toyota Hilux 2.4GD-6 Single Cab 4x4 SRR 540 000</t>
  </si>
  <si>
    <t>Nissan Navara 2.5DDTi Single Cab SE 4x4R 541 200</t>
  </si>
  <si>
    <t>Toyota Hilux 2.4GD-6 Xtra Cab Raider autoR 542 100</t>
  </si>
  <si>
    <t>Nissan Navara 2.5DDTi Double Cab SE autoR 542 900</t>
  </si>
  <si>
    <t>Ford Ranger 2.0 SiT Double Cab XL autoR 544 400</t>
  </si>
  <si>
    <t>Ford Ranger 2.0 SiT Single Cab XL 4x4 autoR 545 000</t>
  </si>
  <si>
    <t>Ford Ranger 2.0 SiT SuperCab XLTR 547 100</t>
  </si>
  <si>
    <t>GWM P-Series 2.0TD Double Cab DLX 4x4 autoR 551 950</t>
  </si>
  <si>
    <t>Isuzu D-Max 1.9TD Double Cab LS autoR 556 000</t>
  </si>
  <si>
    <t>Nissan Navara 2.5DDTi Double Cab SE PlusR 556 500</t>
  </si>
  <si>
    <t>Volkswagen Transporter 2.0TDI 81kW Double CabR 562 300</t>
  </si>
  <si>
    <t>GWM P-Series 2.0TD Double Cab LS 4x4R 565 950</t>
  </si>
  <si>
    <t>Toyota Hilux 2.4GD-6 Double Cab RaiderR 567 600</t>
  </si>
  <si>
    <t>Nissan Navara 2.5DDTi Double Cab SE Plus autoR 578 900</t>
  </si>
  <si>
    <t>Nissan Navara 2.5DDTi Single Cab LE 4x4R 582 900</t>
  </si>
  <si>
    <t>Toyota Hilux 2.4GD-6 Single Cab 4x4 RaiderR 583 200</t>
  </si>
  <si>
    <t>Toyota Hilux 2.4GD-6 Double Cab Raider autoR 585 500</t>
  </si>
  <si>
    <t>GWM P-Series 2.0TD Double Cab LTR 589 950</t>
  </si>
  <si>
    <t>Ford Ranger 2.0 SiT Double Cab XLTR 592 700</t>
  </si>
  <si>
    <t>Isuzu D-Max 1.9TD Double Cab L 4x4R 595 300</t>
  </si>
  <si>
    <t>Peugeot Landtrek 1.9TD Double Cab AllureR 599 900</t>
  </si>
  <si>
    <t>Mitsubishi Triton 2.4DI-D Double CabR 599 990</t>
  </si>
  <si>
    <t>Nissan Navara 2.5DDTi Double Cab SE 4x4R 601 900</t>
  </si>
  <si>
    <t>Toyota Hilux 2.8GD-6 Single Cab Raider autoR 602 400</t>
  </si>
  <si>
    <t>Toyota Hilux 2.4GD-6 Single Cab 4x4 Raider autoR 605 700</t>
  </si>
  <si>
    <t>Ford Ranger 2.0 SiT Double Cab XL 4x4R 607 300</t>
  </si>
  <si>
    <t>Isuzu D-Max 3.0TD Extended cab LSER 610 000</t>
  </si>
  <si>
    <t>Toyota Hilux 2.8GD-6 Xtra Cab LegendR 611 000</t>
  </si>
  <si>
    <t>Toyota Hilux 2.4GD-6 Double Cab 4x4 SRR 615 300</t>
  </si>
  <si>
    <t>Mitsubishi Triton 2.4DI-D Double Cab autoR 619 990</t>
  </si>
  <si>
    <t>Ford Ranger 2.0 SiT Double Cab XL 4x4 autoR 621 900</t>
  </si>
  <si>
    <t>Mahindra Pik Up 2.2CRDe Double Cab 4x4 S11 Karoo DuskR 624 999</t>
  </si>
  <si>
    <t>Mazda BT-50 1.9TD Double Cab ActiveR 630 400</t>
  </si>
  <si>
    <t>Mahindra Pik Up 2.2CRDe Double Cab 4x4 S11 Karoo StormR 634 999</t>
  </si>
  <si>
    <t>Nissan Navara 2.5DDTi Double Cab SE Plus 4x4R 636 500</t>
  </si>
  <si>
    <t>Toyota Hilux 2.8GD-6 Xtra Cab Legend autoR 638 800</t>
  </si>
  <si>
    <t>GWM P-Series 2.0TD Double Cab LT 4x4R 640 950</t>
  </si>
  <si>
    <t>Isuzu D-Max 1.9TD Double Cab LS 4x4R 650 100</t>
  </si>
  <si>
    <t>Toyota Hilux 2.4GD-6 Double Cab 4x4 RaiderR 655 100</t>
  </si>
  <si>
    <t>Nissan Navara 2.5DDTi Double Cab LE autoR 661 500</t>
  </si>
  <si>
    <t>Mazda BT-50 1.9TD Double Cab Active autoR 667 500</t>
  </si>
  <si>
    <t>Ford Ranger 2.0 SiT Double Cab XLT 4x4R 669 800</t>
  </si>
  <si>
    <t>Toyota Hilux 2.8GD-6 Single Cab 4x4 Raider autoR 675 000</t>
  </si>
  <si>
    <t>Mitsubishi Triton 2.4DI-D Double Cab 4x4R 679 990</t>
  </si>
  <si>
    <t>Toyota Hilux 2.4GD-6 Double Cab 4x4 Raider autoR 683 800</t>
  </si>
  <si>
    <t>Isuzu D-Max 3.0TD Extended cab LSE 4x4R 687 100</t>
  </si>
  <si>
    <t>Ford Ranger 2.0 BiTurbo SuperCab XLT 4x4R 688 900</t>
  </si>
  <si>
    <t>Mitsubishi Triton 2.4DI-D Double Cab XtremeR 688 990</t>
  </si>
  <si>
    <t>Peugeot Landtrek 1.9TD 4Action Double Cab 4x4R 689 900</t>
  </si>
  <si>
    <t>Toyota Hilux 2.8GD-6 Xtra Cab 4x4 LegendR 691 100</t>
  </si>
  <si>
    <t>Isuzu D-Max 3.0TD Double Cab LS 4x4R 696 400</t>
  </si>
  <si>
    <t>Mitsubishi Triton 2.4DI-D Double Cab 4x4 autoR 699 990</t>
  </si>
  <si>
    <t>Ford Ranger 2.0 BiTurbo Double Cab XLTR 702 300</t>
  </si>
  <si>
    <t>Toyota Land Cruiser 79 4.0 V6 Single CabR 706 200</t>
  </si>
  <si>
    <t>Toyota Hilux 2.8GD-6 Double Cab Raider autoR 709 000</t>
  </si>
  <si>
    <t>Volkswagen Transporter 2.0BiTDI 146kW Double Cab 4MotionR 713 000</t>
  </si>
  <si>
    <t>Isuzu D-Max 3.0TD Double Cab LS 4x4 autoR 714 700</t>
  </si>
  <si>
    <t>Toyota Hilux 2.8GD-6 Xtra Cab 4x4 Legend autoR 719 400</t>
  </si>
  <si>
    <t>Nissan Navara 2.5DDTi Double Cab LE 4x4R 722 900</t>
  </si>
  <si>
    <t>Isuzu D-Max 3.0TD Double Cab LSER 734 400</t>
  </si>
  <si>
    <t>Mitsubishi Triton 2.4DI-D Double Cab 4x4 HeritageR 739 990</t>
  </si>
  <si>
    <t>Nissan Navara 2.5DDTi Double Cab LE 4x4 autoR 740 500</t>
  </si>
  <si>
    <t>Toyota Land Cruiser 79 4.2D Single CabR 750 900</t>
  </si>
  <si>
    <t>Nissan Navara 2.5DDTi Double Cab PRO-2XR 756 500</t>
  </si>
  <si>
    <t>Toyota Hilux 2.8GD-6 Double Cab LegendR 757 200</t>
  </si>
  <si>
    <t>Mitsubishi Triton 2.4DI-D Double Cab 4x4 XtremeR 768 990</t>
  </si>
  <si>
    <t>Ford Ranger 2.0 BiTurbo SuperCab Wildtrak 4x4R 772 800</t>
  </si>
  <si>
    <t>Ford Ranger 2.0 BiTurbo Double Cab WildtrakR 778 300</t>
  </si>
  <si>
    <t>Isuzu D-Max 3.0TD Double Cab V-CrossR 779 200</t>
  </si>
  <si>
    <t>Ford Ranger 2.0 BiTurbo Double Cab XLT 4x4R 782 100</t>
  </si>
  <si>
    <t>Mazda BT-50 3.0TD Double Cab DynamicR 782 400</t>
  </si>
  <si>
    <t>Isuzu D-Max 3.0TD Double Cab LSE 4x4R 790 400</t>
  </si>
  <si>
    <t>Toyota Hilux 2.8GD-6 Double Cab 4x4 Raider autoR 792 600</t>
  </si>
  <si>
    <t>Volkswagen Amarok 2.0BiTDI Double Cab Highline 4MotionR 794 200</t>
  </si>
  <si>
    <t>Volkswagen Amarok 2.0BiTDI Double Cab HighlineR 799 700</t>
  </si>
  <si>
    <t>Toyota Land Cruiser 79 4.0 V6 Double CabR 801 000</t>
  </si>
  <si>
    <t>Toyota Hilux 2.8GD-6 Double Cab Legend autoR 802 300</t>
  </si>
  <si>
    <t>Nissan Navara 2.5DDTi Double Cab PRO-4X 4x4R 812 900</t>
  </si>
  <si>
    <t>Toyota Hilux 2.8GD-6 Double Cab 4x4 LegendR 813 900</t>
  </si>
  <si>
    <t>Mazda BT-50 3.0TD Double Cab 4x4 IndividualR 818 400</t>
  </si>
  <si>
    <t>Isuzu D-Max 3.0TD Double Cab V-Cross 4x4R 835 100</t>
  </si>
  <si>
    <t>Toyota Land Cruiser 79 4.2D Double CabR 839 500</t>
  </si>
  <si>
    <t>Toyota Hilux 4.0 V6 Double Cab 4x4 LegendR 849 200</t>
  </si>
  <si>
    <t>Toyota Hilux 2.8GD-6 Double Cab 4x4 Legend autoR 849 600</t>
  </si>
  <si>
    <t>Toyota Land Cruiser 79 4.5D-4D Single Cab LX V8R 858 500</t>
  </si>
  <si>
    <t>Volkswagen Amarok 2.0BiTDI Double Cab Highline 4Motion autoR 863 900</t>
  </si>
  <si>
    <t>Ford Ranger 2.0 BiTurbo Double Cab Wildtrak 4x4R 867 700</t>
  </si>
  <si>
    <t>Toyota Hilux 2.8GD-6 Double Cab 4x4 GR-SportR 891 400</t>
  </si>
  <si>
    <t>Toyota Hilux 2.8GD-6 Double Cab Legend RS autoR 895 000</t>
  </si>
  <si>
    <t>Toyota Hilux 2.8GD-6 Double Cab 4x4 Legend RSR 909 600</t>
  </si>
  <si>
    <t>Toyota Land Cruiser 79 4.5D-4D LX V8 Double CabR 941 200</t>
  </si>
  <si>
    <t>Toyota Hilux 2.8GD-6 Double Cab 4x4 Legend RS autoR 945 400</t>
  </si>
  <si>
    <t>Ford Ranger 3.0 V6 Double Cab Wildtrak 4WDR 953 500</t>
  </si>
  <si>
    <t>Volkswagen Amarok 3.0 V6 TDI Double Cab Highline 4MotionR 1 025 100</t>
  </si>
  <si>
    <t>Ford Ranger 3.0 V6 EcoBoost Double Cab Raptor 4WDR 1 094 900</t>
  </si>
  <si>
    <t>Volkswagen Amarok 3.0 V6 TDI Double Cab Extreme 4MotionR 1 118 200</t>
  </si>
  <si>
    <t>Jeep Gladiator 3.6 Rubicon Double CabR 1 329 900</t>
  </si>
  <si>
    <t>Passenger Cars Manual</t>
  </si>
  <si>
    <t>Passengerv Cars Automatic</t>
  </si>
  <si>
    <t>Estates &amp; MPV's</t>
  </si>
  <si>
    <t>Cross Overs &amp; SUV's</t>
  </si>
  <si>
    <t>Pick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</si>
</sst>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4E5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1" applyBorder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rmag.co.za/car-price-guide-view/hyundai-grand-i10-1-0-fluid/SHl1bmRhaSBHcmFuZCBpMTAgMS4wIEZsdWlk/?price=246900" TargetMode="External"/><Relationship Id="rId21" Type="http://schemas.openxmlformats.org/officeDocument/2006/relationships/hyperlink" Target="https://www.carmag.co.za/car-price-guide-view/kia-picanto-1-2-street/S2lhIFBpY2FudG8gMS4yIFN0cmVldA==/?price=232995" TargetMode="External"/><Relationship Id="rId42" Type="http://schemas.openxmlformats.org/officeDocument/2006/relationships/hyperlink" Target="https://www.carmag.co.za/car-price-guide-view/hyundai-i20-1-2-motion/SHl1bmRhaSBpMjAgMS4yIE1vdGlvbg==/?price=304900" TargetMode="External"/><Relationship Id="rId47" Type="http://schemas.openxmlformats.org/officeDocument/2006/relationships/hyperlink" Target="https://www.carmag.co.za/car-price-guide-view/hyundai-i20-1-2-fluid/SHl1bmRhaSBpMjAgMS4yIEZsdWlk/?price=319900" TargetMode="External"/><Relationship Id="rId63" Type="http://schemas.openxmlformats.org/officeDocument/2006/relationships/hyperlink" Target="https://www.carmag.co.za/car-price-guide-view/renault-clio-1-0-turbo-intens/UmVuYXVsdCBDbGlvIDEuMCBUdXJibyBJbnRlbnM=/?price=364999" TargetMode="External"/><Relationship Id="rId68" Type="http://schemas.openxmlformats.org/officeDocument/2006/relationships/hyperlink" Target="https://www.carmag.co.za/car-price-guide-view/fiat-tipo-hatch-1-4-city-life/RmlhdCBUaXBvIEhhdGNoIDEuNCBDaXR5IExpZmU=/?price=390900" TargetMode="External"/><Relationship Id="rId84" Type="http://schemas.openxmlformats.org/officeDocument/2006/relationships/hyperlink" Target="https://www.carmag.co.za/car-price-guide-view/porsche-718-cayman-gts-4-0/UG9yc2NoZSA3MTggQ2F5bWFuIEdUUyA0LjA=/?price=1549000" TargetMode="External"/><Relationship Id="rId89" Type="http://schemas.openxmlformats.org/officeDocument/2006/relationships/hyperlink" Target="https://www.carmag.co.za/car-price-guide-view/porsche-911-carrera-gts-coupe/UG9yc2NoZSA5MTEgQ2FycmVyYSBHVFMgQ291cMOp/?price=2449000" TargetMode="External"/><Relationship Id="rId16" Type="http://schemas.openxmlformats.org/officeDocument/2006/relationships/hyperlink" Target="https://www.carmag.co.za/car-price-guide-view/hyundai-grand-i10-1-0-motion/SHl1bmRhaSBHcmFuZCBpMTAgMS4wIE1vdGlvbg==/?price=214900" TargetMode="External"/><Relationship Id="rId11" Type="http://schemas.openxmlformats.org/officeDocument/2006/relationships/hyperlink" Target="https://www.carmag.co.za/car-price-guide-view/toyota-agya-1-0/VG95b3RhIEFneWEgMS4w/?price=200000" TargetMode="External"/><Relationship Id="rId32" Type="http://schemas.openxmlformats.org/officeDocument/2006/relationships/hyperlink" Target="https://www.carmag.co.za/car-price-guide-view/hyundai-grand-i10-1-2-fluid/SHl1bmRhaSBHcmFuZCBpMTAgMS4yIEZsdWlk/?price=261900" TargetMode="External"/><Relationship Id="rId37" Type="http://schemas.openxmlformats.org/officeDocument/2006/relationships/hyperlink" Target="https://www.carmag.co.za/car-price-guide-view/toyota-starlet-1-5-xr/VG95b3RhIFN0YXJsZXQgMS41IFhS/?price=294900" TargetMode="External"/><Relationship Id="rId53" Type="http://schemas.openxmlformats.org/officeDocument/2006/relationships/hyperlink" Target="https://www.carmag.co.za/car-price-guide-view/mazda-mazda2-1-5-dynamic/TWF6ZGEgTWF6ZGEyIDEuNSBEeW5hbWlj/?price=330200" TargetMode="External"/><Relationship Id="rId58" Type="http://schemas.openxmlformats.org/officeDocument/2006/relationships/hyperlink" Target="https://www.carmag.co.za/car-price-guide-view/toyota-corolla-quest-1-8-prestige/VG95b3RhIENvcm9sbGEgUXVlc3QgMS44IFByZXN0aWdl/?price=348400" TargetMode="External"/><Relationship Id="rId74" Type="http://schemas.openxmlformats.org/officeDocument/2006/relationships/hyperlink" Target="https://www.carmag.co.za/car-price-guide-view/mazda-mazda3-hatch-1-5-dynamic/TWF6ZGEgTWF6ZGEzIEhhdGNoIDEuNSBEeW5hbWlj/?price=438600" TargetMode="External"/><Relationship Id="rId79" Type="http://schemas.openxmlformats.org/officeDocument/2006/relationships/hyperlink" Target="https://www.carmag.co.za/car-price-guide-view/toyota-gr-yaris-1-6t-gr-four-rally/VG95b3RhIEdSIFlhcmlzIDEuNlQgR1ItRm91ciBSYWxseQ==/?price=791900" TargetMode="External"/><Relationship Id="rId5" Type="http://schemas.openxmlformats.org/officeDocument/2006/relationships/hyperlink" Target="https://www.carmag.co.za/car-price-guide-view/suzuki-s-presso-1-0-s-edition/U3V6dWtpIFMtUHJlc3NvIDEuMCBTLUVkaXRpb24=/?price=185900" TargetMode="External"/><Relationship Id="rId90" Type="http://schemas.openxmlformats.org/officeDocument/2006/relationships/hyperlink" Target="https://www.carmag.co.za/car-price-guide-view/porsche-911-carrera-gts-cabriolet/UG9yc2NoZSA5MTEgQ2FycmVyYSBHVFMgQ2FicmlvbGV0/?price=2679000" TargetMode="External"/><Relationship Id="rId14" Type="http://schemas.openxmlformats.org/officeDocument/2006/relationships/hyperlink" Target="https://www.carmag.co.za/car-price-guide-view/suzuki-dzire-1-2-gl/U3V6dWtpIERaaXJlIDEuMiBHTA==/?price=211900" TargetMode="External"/><Relationship Id="rId22" Type="http://schemas.openxmlformats.org/officeDocument/2006/relationships/hyperlink" Target="https://www.carmag.co.za/car-price-guide-view/toyota-starlet-1-5-xi/VG95b3RhIFN0YXJsZXQgMS41IFhp/?price=233000" TargetMode="External"/><Relationship Id="rId27" Type="http://schemas.openxmlformats.org/officeDocument/2006/relationships/hyperlink" Target="https://www.carmag.co.za/car-price-guide-view/volkswagen-polo-vivo-1-4-trendline/Vm9sa3N3YWdlbiBQb2xvIFZpdm8gMS40IFRyZW5kbGluZQ==/?price=247300" TargetMode="External"/><Relationship Id="rId30" Type="http://schemas.openxmlformats.org/officeDocument/2006/relationships/hyperlink" Target="https://www.carmag.co.za/car-price-guide-view/suzuki-ciaz-1-5-gl/U3V6dWtpIENpYXogMS41IEdM/?price=256900" TargetMode="External"/><Relationship Id="rId35" Type="http://schemas.openxmlformats.org/officeDocument/2006/relationships/hyperlink" Target="https://www.carmag.co.za/car-price-guide-view/suzuki-baleno-1-5-glx/U3V6dWtpIEJhbGVubyAxLjUgR0xY/?price=281900" TargetMode="External"/><Relationship Id="rId43" Type="http://schemas.openxmlformats.org/officeDocument/2006/relationships/hyperlink" Target="https://www.carmag.co.za/car-price-guide-view/citroen-c3-1-2-feel/Q2l0cm/Dq24gQzMgMS4yIEZlZWw=/?price=305900" TargetMode="External"/><Relationship Id="rId48" Type="http://schemas.openxmlformats.org/officeDocument/2006/relationships/hyperlink" Target="https://www.carmag.co.za/car-price-guide-view/renault-clio-1-0-turbo-zen/UmVuYXVsdCBDbGlvIDEuMCBUdXJibyBaZW4=/?price=324999" TargetMode="External"/><Relationship Id="rId56" Type="http://schemas.openxmlformats.org/officeDocument/2006/relationships/hyperlink" Target="https://www.carmag.co.za/car-price-guide-view/volkswagen-polo-hatch-1-0tsi-70kw/Vm9sa3N3YWdlbiBQb2xvIEhhdGNoIDEuMFRTSSA3MGtX/?price=334400" TargetMode="External"/><Relationship Id="rId64" Type="http://schemas.openxmlformats.org/officeDocument/2006/relationships/hyperlink" Target="https://www.carmag.co.za/car-price-guide-view/kia-rio-1-4-tec/S2lhIFJpbyAxLjQgVGVj/?price=366995" TargetMode="External"/><Relationship Id="rId69" Type="http://schemas.openxmlformats.org/officeDocument/2006/relationships/hyperlink" Target="https://www.carmag.co.za/car-price-guide-view/suzuki-swift-1-4t-sport/U3V6dWtpIFN3aWZ0IDEuNFQgU3BvcnQ=/?price=392900" TargetMode="External"/><Relationship Id="rId77" Type="http://schemas.openxmlformats.org/officeDocument/2006/relationships/hyperlink" Target="https://www.carmag.co.za/car-price-guide-view/abarth-500-595-monster-energy-yamaha-cabriolet/QWJhcnRoIDUwMCA1OTUgTW9uc3RlciBFbmVyZ3kgWWFtYWhhIENhYnJpb2xldA==/?price=509900" TargetMode="External"/><Relationship Id="rId8" Type="http://schemas.openxmlformats.org/officeDocument/2006/relationships/hyperlink" Target="https://www.carmag.co.za/car-price-guide-view/suzuki-swift-1-2-ga/U3V6dWtpIFN3aWZ0IDEuMiBHQQ==/?price=194900" TargetMode="External"/><Relationship Id="rId51" Type="http://schemas.openxmlformats.org/officeDocument/2006/relationships/hyperlink" Target="https://www.carmag.co.za/car-price-guide-view/kia-rio-1-4-lx/S2lhIFJpbyAxLjQgTFg=/?price=328995" TargetMode="External"/><Relationship Id="rId72" Type="http://schemas.openxmlformats.org/officeDocument/2006/relationships/hyperlink" Target="https://www.carmag.co.za/car-price-guide-view/mazda-mazda3-hatch-1-5-active/TWF6ZGEgTWF6ZGEzIEhhdGNoIDEuNSBBY3RpdmU=/?price=421900" TargetMode="External"/><Relationship Id="rId80" Type="http://schemas.openxmlformats.org/officeDocument/2006/relationships/hyperlink" Target="https://www.carmag.co.za/car-price-guide-view/subaru-wrx-2-4t/U3ViYXJ1IFdSWCAyLjRU/?price=799000" TargetMode="External"/><Relationship Id="rId85" Type="http://schemas.openxmlformats.org/officeDocument/2006/relationships/hyperlink" Target="https://www.carmag.co.za/car-price-guide-view/porsche-718-boxster-gts-4-0/UG9yc2NoZSA3MTggQm94c3RlciBHVFMgNC4w/?price=1589000" TargetMode="External"/><Relationship Id="rId3" Type="http://schemas.openxmlformats.org/officeDocument/2006/relationships/hyperlink" Target="https://www.carmag.co.za/car-price-guide-view/suzuki-celerio-1-0-ga/U3V6dWtpIENlbGVyaW8gMS4wIEdB/?price=178900" TargetMode="External"/><Relationship Id="rId12" Type="http://schemas.openxmlformats.org/officeDocument/2006/relationships/hyperlink" Target="https://www.carmag.co.za/car-price-guide-view/renault-kwid-1-0-climber/UmVuYXVsdCBLd2lkIDEuMCBDbGltYmVy/?price=201999" TargetMode="External"/><Relationship Id="rId17" Type="http://schemas.openxmlformats.org/officeDocument/2006/relationships/hyperlink" Target="https://www.carmag.co.za/car-price-guide-view/kia-picanto-1-0-street/S2lhIFBpY2FudG8gMS4wIFN0cmVldA==/?price=223995" TargetMode="External"/><Relationship Id="rId25" Type="http://schemas.openxmlformats.org/officeDocument/2006/relationships/hyperlink" Target="https://www.carmag.co.za/car-price-guide-view/toyota-starlet-1-5-xs/VG95b3RhIFN0YXJsZXQgMS41IFhT/?price=246300" TargetMode="External"/><Relationship Id="rId33" Type="http://schemas.openxmlformats.org/officeDocument/2006/relationships/hyperlink" Target="https://www.carmag.co.za/car-price-guide-view/kia-pegas-1-4-ex/S2lhIFBlZ2FzIDEuNCBFWA==/?price=265995" TargetMode="External"/><Relationship Id="rId38" Type="http://schemas.openxmlformats.org/officeDocument/2006/relationships/hyperlink" Target="https://www.carmag.co.za/car-price-guide-view/volkswagen-polo-vivo-1-6-highline/Vm9sa3N3YWdlbiBQb2xvIFZpdm8gMS42IEhpZ2hsaW5l/?price=296000" TargetMode="External"/><Relationship Id="rId46" Type="http://schemas.openxmlformats.org/officeDocument/2006/relationships/hyperlink" Target="https://www.carmag.co.za/car-price-guide-view/kia-rio-1-4-ls/S2lhIFJpbyAxLjQgTFM=/?price=313995" TargetMode="External"/><Relationship Id="rId59" Type="http://schemas.openxmlformats.org/officeDocument/2006/relationships/hyperlink" Target="https://www.carmag.co.za/car-price-guide-view/opel-corsa-1-2t-edition/T3BlbCBDb3JzYSAxLjJUIEVkaXRpb24=/?price=356900" TargetMode="External"/><Relationship Id="rId67" Type="http://schemas.openxmlformats.org/officeDocument/2006/relationships/hyperlink" Target="https://www.carmag.co.za/car-price-guide-view/peugeot-208-1-2t-allure/UGV1Z2VvdCAyMDggMS4yVCBBbGx1cmU=/?price=379900" TargetMode="External"/><Relationship Id="rId20" Type="http://schemas.openxmlformats.org/officeDocument/2006/relationships/hyperlink" Target="https://www.carmag.co.za/car-price-guide-view/suzuki-swift-1-2-glx/U3V6dWtpIFN3aWZ0IDEuMiBHTFg=/?price=232900" TargetMode="External"/><Relationship Id="rId41" Type="http://schemas.openxmlformats.org/officeDocument/2006/relationships/hyperlink" Target="https://www.carmag.co.za/car-price-guide-view/mazda-mazda2-1-5-active/TWF6ZGEgTWF6ZGEyIDEuNSBBY3RpdmU=/?price=302300" TargetMode="External"/><Relationship Id="rId54" Type="http://schemas.openxmlformats.org/officeDocument/2006/relationships/hyperlink" Target="https://www.carmag.co.za/car-price-guide-view/volkswagen-polo-sedan-1-6/Vm9sa3N3YWdlbiBQb2xvIFNlZGFuIDEuNg==/?price=332400" TargetMode="External"/><Relationship Id="rId62" Type="http://schemas.openxmlformats.org/officeDocument/2006/relationships/hyperlink" Target="https://www.carmag.co.za/car-price-guide-view/hyundai-i20-1-0t-fluid/SHl1bmRhaSBpMjAgMS4wVCBGbHVpZA==/?price=362900" TargetMode="External"/><Relationship Id="rId70" Type="http://schemas.openxmlformats.org/officeDocument/2006/relationships/hyperlink" Target="https://www.carmag.co.za/car-price-guide-view/fiat-tipo-sedan-1-4-city-life/RmlhdCBUaXBvIFNlZGFuIDEuNCBDaXR5IExpZmU=/?price=404900" TargetMode="External"/><Relationship Id="rId75" Type="http://schemas.openxmlformats.org/officeDocument/2006/relationships/hyperlink" Target="https://www.carmag.co.za/car-price-guide-view/abarth-500-595-competizione-1-4t/QWJhcnRoIDUwMCA1OTUgY29tcGV0aXppb25lIDEuNFQ=/?price=491900" TargetMode="External"/><Relationship Id="rId83" Type="http://schemas.openxmlformats.org/officeDocument/2006/relationships/hyperlink" Target="https://www.carmag.co.za/car-price-guide-view/bmw-m2-coupe/Qk1XIE0yIENvdXDDqQ==/?price=1513689" TargetMode="External"/><Relationship Id="rId88" Type="http://schemas.openxmlformats.org/officeDocument/2006/relationships/hyperlink" Target="https://www.carmag.co.za/car-price-guide-view/porsche-911-carrera-t/UG9yc2NoZSA5MTEgQ2FycmVyYSBU/?price=2080000" TargetMode="External"/><Relationship Id="rId91" Type="http://schemas.openxmlformats.org/officeDocument/2006/relationships/hyperlink" Target="https://www.carmag.co.za/car-price-guide-view/porsche-911-gt3/UG9yc2NoZSA5MTEgR1Qz/?price=3349000" TargetMode="External"/><Relationship Id="rId1" Type="http://schemas.openxmlformats.org/officeDocument/2006/relationships/hyperlink" Target="https://www.carmag.co.za/car-price-guide-view/suzuki-s-presso-1-0-gl/U3V6dWtpIFMtUHJlc3NvIDEuMCBHTA==/?price=162900" TargetMode="External"/><Relationship Id="rId6" Type="http://schemas.openxmlformats.org/officeDocument/2006/relationships/hyperlink" Target="https://www.carmag.co.za/car-price-guide-view/renault-kwid-1-0-zen/UmVuYXVsdCBLd2lkIDEuMCBaZW4=/?price=190999" TargetMode="External"/><Relationship Id="rId15" Type="http://schemas.openxmlformats.org/officeDocument/2006/relationships/hyperlink" Target="https://www.carmag.co.za/car-price-guide-view/suzuki-swift-1-2-gl/U3V6dWtpIFN3aWZ0IDEuMiBHTA==/?price=212900" TargetMode="External"/><Relationship Id="rId23" Type="http://schemas.openxmlformats.org/officeDocument/2006/relationships/hyperlink" Target="https://www.carmag.co.za/car-price-guide-view/kia-picanto-1-0-style/S2lhIFBpY2FudG8gMS4wIFN0eWxl/?price=233995" TargetMode="External"/><Relationship Id="rId28" Type="http://schemas.openxmlformats.org/officeDocument/2006/relationships/hyperlink" Target="https://www.carmag.co.za/car-price-guide-view/honda-amaze-1-2-comfort/SG9uZGEgQW1hemUgMS4yIENvbWZvcnQ=/?price=247800" TargetMode="External"/><Relationship Id="rId36" Type="http://schemas.openxmlformats.org/officeDocument/2006/relationships/hyperlink" Target="https://www.carmag.co.za/car-price-guide-view/nissan-almera-1-5-acenta/Tmlzc2FuIEFsbWVyYSAxLjUgQWNlbnRh/?price=291900" TargetMode="External"/><Relationship Id="rId49" Type="http://schemas.openxmlformats.org/officeDocument/2006/relationships/hyperlink" Target="https://www.carmag.co.za/car-price-guide-view/opel-corsa-1-2/T3BlbCBDb3JzYSAxLjI=/?price=325900" TargetMode="External"/><Relationship Id="rId57" Type="http://schemas.openxmlformats.org/officeDocument/2006/relationships/hyperlink" Target="https://www.carmag.co.za/car-price-guide-view/kia-rio-1-4-ex/S2lhIFJpbyAxLjQgRVg=/?price=341995" TargetMode="External"/><Relationship Id="rId10" Type="http://schemas.openxmlformats.org/officeDocument/2006/relationships/hyperlink" Target="https://www.carmag.co.za/car-price-guide-view/hyundai-atos-1-1-motion/SHl1bmRhaSBBdG9zIDEuMSBNb3Rpb24=/?price=199900" TargetMode="External"/><Relationship Id="rId31" Type="http://schemas.openxmlformats.org/officeDocument/2006/relationships/hyperlink" Target="https://www.carmag.co.za/car-price-guide-view/kia-picanto-1-2-x-line/S2lhIFBpY2FudG8gMS4yIFgtTGluZQ==/?price=259995" TargetMode="External"/><Relationship Id="rId44" Type="http://schemas.openxmlformats.org/officeDocument/2006/relationships/hyperlink" Target="https://www.carmag.co.za/car-price-guide-view/toyota-corolla-quest-1-8-plus/VG95b3RhIENvcm9sbGEgUXVlc3QgMS44IFBsdXM=/?price=307400" TargetMode="External"/><Relationship Id="rId52" Type="http://schemas.openxmlformats.org/officeDocument/2006/relationships/hyperlink" Target="https://www.carmag.co.za/car-price-guide-view/peugeot-208-1-2-active/UGV1Z2VvdCAyMDggMS4yIEFjdGl2ZQ==/?price=329900" TargetMode="External"/><Relationship Id="rId60" Type="http://schemas.openxmlformats.org/officeDocument/2006/relationships/hyperlink" Target="https://www.carmag.co.za/car-price-guide-view/mazda-mazda2-1-5-individual/TWF6ZGEgTWF6ZGEyIDEuNSBJbmRpdmlkdWFs/?price=358700" TargetMode="External"/><Relationship Id="rId65" Type="http://schemas.openxmlformats.org/officeDocument/2006/relationships/hyperlink" Target="https://www.carmag.co.za/car-price-guide-view/toyota-corolla-quest-1-8-exclusive/VG95b3RhIENvcm9sbGEgUXVlc3QgMS44IEV4Y2x1c2l2ZQ==/?price=367500" TargetMode="External"/><Relationship Id="rId73" Type="http://schemas.openxmlformats.org/officeDocument/2006/relationships/hyperlink" Target="https://www.carmag.co.za/car-price-guide-view/fiat-tipo-hatch-1-4-life/RmlhdCBUaXBvIEhhdGNoIDEuNCBMaWZl/?price=430900" TargetMode="External"/><Relationship Id="rId78" Type="http://schemas.openxmlformats.org/officeDocument/2006/relationships/hyperlink" Target="https://www.carmag.co.za/car-price-guide-view/toyota-gr86/VG95b3RhIEdSODY=/?price=712100" TargetMode="External"/><Relationship Id="rId81" Type="http://schemas.openxmlformats.org/officeDocument/2006/relationships/hyperlink" Target="https://www.carmag.co.za/car-price-guide-view/honda-civic-type-r/SG9uZGEgQ2l2aWMgVHlwZSBS/?price=857500" TargetMode="External"/><Relationship Id="rId86" Type="http://schemas.openxmlformats.org/officeDocument/2006/relationships/hyperlink" Target="https://www.carmag.co.za/car-price-guide-view/porsche-718-spyder/UG9yc2NoZSA3MTggU3B5ZGVy/?price=1839000" TargetMode="External"/><Relationship Id="rId4" Type="http://schemas.openxmlformats.org/officeDocument/2006/relationships/hyperlink" Target="https://www.carmag.co.za/car-price-guide-view/renault-kwid-1-0-life/UmVuYXVsdCBLd2lkIDEuMCBMaWZl/?price=180999" TargetMode="External"/><Relationship Id="rId9" Type="http://schemas.openxmlformats.org/officeDocument/2006/relationships/hyperlink" Target="https://www.carmag.co.za/car-price-guide-view/suzuki-celerio-1-0-gl/U3V6dWtpIENlbGVyaW8gMS4wIEdM/?price=198900" TargetMode="External"/><Relationship Id="rId13" Type="http://schemas.openxmlformats.org/officeDocument/2006/relationships/hyperlink" Target="https://www.carmag.co.za/car-price-guide-view/kia-picanto-1-0-start/S2lhIFBpY2FudG8gMS4wIFN0YXJ0/?price=209995" TargetMode="External"/><Relationship Id="rId18" Type="http://schemas.openxmlformats.org/officeDocument/2006/relationships/hyperlink" Target="https://www.carmag.co.za/car-price-guide-view/honda-amaze-1-2-trend/SG9uZGEgQW1hemUgMS4yIFRyZW5k/?price=231200" TargetMode="External"/><Relationship Id="rId39" Type="http://schemas.openxmlformats.org/officeDocument/2006/relationships/hyperlink" Target="https://www.carmag.co.za/car-price-guide-view/suzuki-ciaz-1-5-glx/U3V6dWtpIENpYXogMS41IEdMWA==/?price=296900" TargetMode="External"/><Relationship Id="rId34" Type="http://schemas.openxmlformats.org/officeDocument/2006/relationships/hyperlink" Target="https://www.carmag.co.za/car-price-guide-view/volkswagen-polo-vivo-1-4-comfortline/Vm9sa3N3YWdlbiBQb2xvIFZpdm8gMS40IENvbWZvcnRsaW5l/?price=266900" TargetMode="External"/><Relationship Id="rId50" Type="http://schemas.openxmlformats.org/officeDocument/2006/relationships/hyperlink" Target="https://www.carmag.co.za/car-price-guide-view/fiat-tipo-sedan-1-4/RmlhdCBUaXBvIFNlZGFuIDEuNA==/?price=327900" TargetMode="External"/><Relationship Id="rId55" Type="http://schemas.openxmlformats.org/officeDocument/2006/relationships/hyperlink" Target="https://www.carmag.co.za/car-price-guide-view/volkswagen-polo-vivo-1-0tsi-gt/Vm9sa3N3YWdlbiBQb2xvIFZpdm8gMS4wVFNJIEdU/?price=332800" TargetMode="External"/><Relationship Id="rId76" Type="http://schemas.openxmlformats.org/officeDocument/2006/relationships/hyperlink" Target="https://www.carmag.co.za/car-price-guide-view/mazda-mazda3-hatch-1-5-individual/TWF6ZGEgTWF6ZGEzIEhhdGNoIDEuNSBJbmRpdmlkdWFs/?price=494000" TargetMode="External"/><Relationship Id="rId7" Type="http://schemas.openxmlformats.org/officeDocument/2006/relationships/hyperlink" Target="https://www.carmag.co.za/car-price-guide-view/suzuki-dzire-1-2-ga/U3V6dWtpIERaaXJlIDEuMiBHQQ==/?price=193900" TargetMode="External"/><Relationship Id="rId71" Type="http://schemas.openxmlformats.org/officeDocument/2006/relationships/hyperlink" Target="https://www.carmag.co.za/car-price-guide-view/abarth-500-595-turismo-1-4t/QWJhcnRoIDUwMCA1OTUgdHVyaXNtbyAxLjRU/?price=409900" TargetMode="External"/><Relationship Id="rId92" Type="http://schemas.openxmlformats.org/officeDocument/2006/relationships/hyperlink" Target="https://www.carmag.co.za/car-price-guide-view/porsche-911-sport-classic/UG9yc2NoZSA5MTEgU3BvcnQgQ2xhc3NpYw==/?price=5169000" TargetMode="External"/><Relationship Id="rId2" Type="http://schemas.openxmlformats.org/officeDocument/2006/relationships/hyperlink" Target="https://www.carmag.co.za/car-price-guide-view/suzuki-s-presso-1-0-gl/U3V6dWtpIFMtUHJlc3NvIDEuMCBHTCs=/?price=169900" TargetMode="External"/><Relationship Id="rId29" Type="http://schemas.openxmlformats.org/officeDocument/2006/relationships/hyperlink" Target="https://www.carmag.co.za/car-price-guide-view/kia-pegas-1-4-lx/S2lhIFBlZ2FzIDEuNCBMWA==/?price=254995" TargetMode="External"/><Relationship Id="rId24" Type="http://schemas.openxmlformats.org/officeDocument/2006/relationships/hyperlink" Target="https://www.carmag.co.za/car-price-guide-view/kia-picanto-1-2-style/S2lhIFBpY2FudG8gMS4yIFN0eWxl/?price=242995" TargetMode="External"/><Relationship Id="rId40" Type="http://schemas.openxmlformats.org/officeDocument/2006/relationships/hyperlink" Target="https://www.carmag.co.za/car-price-guide-view/kia-rio-1-2-ls/S2lhIFJpbyAxLjIgTFM=/?price=299995" TargetMode="External"/><Relationship Id="rId45" Type="http://schemas.openxmlformats.org/officeDocument/2006/relationships/hyperlink" Target="https://www.carmag.co.za/car-price-guide-view/renault-clio-1-0-turbo-life/UmVuYXVsdCBDbGlvIDEuMCBUdXJibyBMaWZl/?price=309999" TargetMode="External"/><Relationship Id="rId66" Type="http://schemas.openxmlformats.org/officeDocument/2006/relationships/hyperlink" Target="https://www.carmag.co.za/car-price-guide-view/volkswagen-polo-hatch-1-0tsi-70kw-life/Vm9sa3N3YWdlbiBQb2xvIEhhdGNoIDEuMFRTSSA3MGtXIExpZmU=/?price=375400" TargetMode="External"/><Relationship Id="rId87" Type="http://schemas.openxmlformats.org/officeDocument/2006/relationships/hyperlink" Target="https://www.carmag.co.za/car-price-guide-view/porsche-718-cayman-gt4/UG9yc2NoZSA3MTggQ2F5bWFuIEdUNA==/?price=1919000" TargetMode="External"/><Relationship Id="rId61" Type="http://schemas.openxmlformats.org/officeDocument/2006/relationships/hyperlink" Target="https://www.carmag.co.za/car-price-guide-view/volkswagen-polo-sedan-1-6-life/Vm9sa3N3YWdlbiBQb2xvIFNlZGFuIDEuNiBMaWZl/?price=360900" TargetMode="External"/><Relationship Id="rId82" Type="http://schemas.openxmlformats.org/officeDocument/2006/relationships/hyperlink" Target="https://www.carmag.co.za/car-price-guide-view/ford-mustang-5-0-mach-1-fastback/Rm9yZCBNdXN0YW5nIDUuMCBNYWNoIDEgRmFzdGJhY2s=/?price=1210000" TargetMode="External"/><Relationship Id="rId19" Type="http://schemas.openxmlformats.org/officeDocument/2006/relationships/hyperlink" Target="https://www.carmag.co.za/car-price-guide-view/suzuki-baleno-1-5-gl/U3V6dWtpIEJhbGVubyAxLjUgR0w=/?price=23190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mag.co.za/car-price-guide-view/bmw-318i/Qk1XIDMxOGk=/?price=767894" TargetMode="External"/><Relationship Id="rId299" Type="http://schemas.openxmlformats.org/officeDocument/2006/relationships/hyperlink" Target="https://www.carmag.co.za/car-price-guide-view/mercedes-benz-s500-l-4matic-amg-line/TWVyY2VkZXMtQmVueiBTNTAwIEwgNE1hdGljIEFNRyBMaW5l/?price=2811764" TargetMode="External"/><Relationship Id="rId21" Type="http://schemas.openxmlformats.org/officeDocument/2006/relationships/hyperlink" Target="https://www.carmag.co.za/car-price-guide-view/toyota-starlet-1-5-xs/VG95b3RhIFN0YXJsZXQgMS41IFhT/?price=268900" TargetMode="External"/><Relationship Id="rId63" Type="http://schemas.openxmlformats.org/officeDocument/2006/relationships/hyperlink" Target="https://www.carmag.co.za/car-price-guide-view/peugeot-208-1-2t-gt/UGV1Z2VvdCAyMDggMS4yVCBHVA==/?price=459900" TargetMode="External"/><Relationship Id="rId159" Type="http://schemas.openxmlformats.org/officeDocument/2006/relationships/hyperlink" Target="https://www.carmag.co.za/car-price-guide-view/mercedes-benz-c220d-coupe-amg-line/TWVyY2VkZXMtQmVueiBDMjIwZCBDb3Vww6kgQU1HIExpbmU=/?price=954850" TargetMode="External"/><Relationship Id="rId324" Type="http://schemas.openxmlformats.org/officeDocument/2006/relationships/hyperlink" Target="https://www.carmag.co.za/car-price-guide-view/porsche-911-turbo-s-coupe/UG9yc2NoZSA5MTEgdHVyYm8gUyBDb3Vww6k=/?price=4179000" TargetMode="External"/><Relationship Id="rId170" Type="http://schemas.openxmlformats.org/officeDocument/2006/relationships/hyperlink" Target="https://www.carmag.co.za/car-price-guide-view/mercedes-benz-c200-amg-line/TWVyY2VkZXMtQmVueiBDMjAwIEFNRyBMaW5l/?price=1020156" TargetMode="External"/><Relationship Id="rId226" Type="http://schemas.openxmlformats.org/officeDocument/2006/relationships/hyperlink" Target="https://www.carmag.co.za/car-price-guide-view/bmw-m2-coupe/Qk1XIE0yIENvdXDDqQ==/?price=1503975" TargetMode="External"/><Relationship Id="rId268" Type="http://schemas.openxmlformats.org/officeDocument/2006/relationships/hyperlink" Target="https://www.carmag.co.za/car-price-guide-view/bmw-740d-xdrive-design-pure-excellence/Qk1XIDc0MGQgeERyaXZlIERlc2lnbiBQdXJlIEV4Y2VsbGVuY2U=/?price=2293207" TargetMode="External"/><Relationship Id="rId32" Type="http://schemas.openxmlformats.org/officeDocument/2006/relationships/hyperlink" Target="https://www.carmag.co.za/car-price-guide-view/fiat-500-twinair-dolcevita/RmlhdCA1MDAgVHdpbkFpciBEb2xjZXZpdGE=/?price=322900" TargetMode="External"/><Relationship Id="rId74" Type="http://schemas.openxmlformats.org/officeDocument/2006/relationships/hyperlink" Target="https://www.carmag.co.za/car-price-guide-view/toyota-corolla-2-0-xr/VG95b3RhIENvcm9sbGEgMi4wIFhS/?price=527400" TargetMode="External"/><Relationship Id="rId128" Type="http://schemas.openxmlformats.org/officeDocument/2006/relationships/hyperlink" Target="https://www.carmag.co.za/car-price-guide-view/bmw-320i/Qk1XIDMyMGk=/?price=832894" TargetMode="External"/><Relationship Id="rId335" Type="http://schemas.openxmlformats.org/officeDocument/2006/relationships/hyperlink" Target="https://www.carmag.co.za/car-price-guide-view/bentley-flying-spur-v8-azure/QmVudGxleSBGbHlpbmcgU3B1ciBWOCBBenVyZQ==/?price=5320000" TargetMode="External"/><Relationship Id="rId5" Type="http://schemas.openxmlformats.org/officeDocument/2006/relationships/hyperlink" Target="https://www.carmag.co.za/car-price-guide-view/hyundai-atos-1-1-motion/SHl1bmRhaSBBdG9zIDEuMSBNb3Rpb24=/?price=209900" TargetMode="External"/><Relationship Id="rId181" Type="http://schemas.openxmlformats.org/officeDocument/2006/relationships/hyperlink" Target="https://www.carmag.co.za/car-price-guide-view/mercedes-benz-e220d-avantgarde/TWVyY2VkZXMtQmVueiBFMjIwZCBBdmFudGdhcmRl/?price=1066926" TargetMode="External"/><Relationship Id="rId237" Type="http://schemas.openxmlformats.org/officeDocument/2006/relationships/hyperlink" Target="https://www.carmag.co.za/car-price-guide-view/audi-s7-tfsi-sportback-quattro/QXVkaSBTNyBURlNJIFNwb3J0YmFjayBxdWF0dHJv/?price=1699300" TargetMode="External"/><Relationship Id="rId279" Type="http://schemas.openxmlformats.org/officeDocument/2006/relationships/hyperlink" Target="https://www.carmag.co.za/car-price-guide-view/bmw-m850i-xdrive-convertible/Qk1XIE04NTBpIHhEcml2ZSBDb252ZXJ0aWJsZQ==/?price=2452922" TargetMode="External"/><Relationship Id="rId43" Type="http://schemas.openxmlformats.org/officeDocument/2006/relationships/hyperlink" Target="https://www.carmag.co.za/car-price-guide-view/citroen-c3-1-2t-shine/Q2l0cm/Dq24gQzMgMS4yVCBTaGluZQ==/?price=374900" TargetMode="External"/><Relationship Id="rId139" Type="http://schemas.openxmlformats.org/officeDocument/2006/relationships/hyperlink" Target="https://www.carmag.co.za/car-price-guide-view/audi-s3-sportback-quattro/QXVkaSBTMyBTcG9ydGJhY2sgcXVhdHRybw==/?price=883100" TargetMode="External"/><Relationship Id="rId290" Type="http://schemas.openxmlformats.org/officeDocument/2006/relationships/hyperlink" Target="https://www.carmag.co.za/car-price-guide-view/lexus-ls-500/TGV4dXMgTFMgNTAw/?price=2595400" TargetMode="External"/><Relationship Id="rId304" Type="http://schemas.openxmlformats.org/officeDocument/2006/relationships/hyperlink" Target="https://www.carmag.co.za/car-price-guide-view/porsche-taycan-gts/UG9yc2NoZSBUYXljYW4gR1RT/?price=3059000" TargetMode="External"/><Relationship Id="rId346" Type="http://schemas.openxmlformats.org/officeDocument/2006/relationships/hyperlink" Target="https://www.carmag.co.za/car-price-guide-view/bentley-continental-gtc-v8-mulliner/QmVudGxleSBDb250aW5lbnRhbCBHVEMgVjggTXVsbGluZXI=/?price=6690000" TargetMode="External"/><Relationship Id="rId85" Type="http://schemas.openxmlformats.org/officeDocument/2006/relationships/hyperlink" Target="https://www.carmag.co.za/car-price-guide-view/audi-a3-sportback-35tfsi/QXVkaSBBMyBTcG9ydGJhY2sgMzVURlNJ/?price=622800" TargetMode="External"/><Relationship Id="rId150" Type="http://schemas.openxmlformats.org/officeDocument/2006/relationships/hyperlink" Target="https://www.carmag.co.za/car-price-guide-view/volvo-s90-b5-essential/Vm9sdm8gUzkwIEI1IEVzc2VudGlhbA==/?price=922600" TargetMode="External"/><Relationship Id="rId192" Type="http://schemas.openxmlformats.org/officeDocument/2006/relationships/hyperlink" Target="https://www.carmag.co.za/car-price-guide-view/bmw-520d-m-sport/Qk1XIDUyMGQgTSBTcG9ydA==/?price=1143776" TargetMode="External"/><Relationship Id="rId206" Type="http://schemas.openxmlformats.org/officeDocument/2006/relationships/hyperlink" Target="https://www.carmag.co.za/car-price-guide-view/volvo-s90-b6-awd-ultimate-bright/Vm9sdm8gUzkwIEI2IEFXRCBVbHRpbWF0ZSBCcmlnaHQ=/?price=1227800" TargetMode="External"/><Relationship Id="rId248" Type="http://schemas.openxmlformats.org/officeDocument/2006/relationships/hyperlink" Target="https://www.carmag.co.za/car-price-guide-view/porsche-911-carrera-4-coupe/UG9yc2NoZSA5MTEgQ2FycmVyYSA0IENvdXDDqQ==/?price=1979000" TargetMode="External"/><Relationship Id="rId12" Type="http://schemas.openxmlformats.org/officeDocument/2006/relationships/hyperlink" Target="https://www.carmag.co.za/car-price-guide-view/kia-picanto-1-0-street/S2lhIFBpY2FudG8gMS4wIFN0cmVldA==/?price=237995" TargetMode="External"/><Relationship Id="rId108" Type="http://schemas.openxmlformats.org/officeDocument/2006/relationships/hyperlink" Target="https://www.carmag.co.za/car-price-guide-view/mini-cooper-se-hatch-3-door/TUlOSSBDb29wZXIgU0UgSGF0Y2ggMy1kb29y/?price=742102" TargetMode="External"/><Relationship Id="rId315" Type="http://schemas.openxmlformats.org/officeDocument/2006/relationships/hyperlink" Target="https://www.carmag.co.za/car-price-guide-view/bmw-m8-competition-convertible/Qk1XIE04IGNvbXBldGl0aW9uIENvbnZlcnRpYmxl/?price=3572618" TargetMode="External"/><Relationship Id="rId54" Type="http://schemas.openxmlformats.org/officeDocument/2006/relationships/hyperlink" Target="https://www.carmag.co.za/car-price-guide-view/peugeot-208-1-2t-allure/UGV1Z2VvdCAyMDggMS4yVCBBbGx1cmU=/?price=419900" TargetMode="External"/><Relationship Id="rId96" Type="http://schemas.openxmlformats.org/officeDocument/2006/relationships/hyperlink" Target="https://www.carmag.co.za/car-price-guide-view/honda-civic-sedan-1-5t-rs/SG9uZGEgQ2l2aWMgU2VkYW4gMS41VCBSUw==/?price=689100" TargetMode="External"/><Relationship Id="rId161" Type="http://schemas.openxmlformats.org/officeDocument/2006/relationships/hyperlink" Target="https://www.carmag.co.za/car-price-guide-view/mercedes-benz-c200-avantgarde/TWVyY2VkZXMtQmVueiBDMjAwIEF2YW50Z2FyZGU=/?price=966156" TargetMode="External"/><Relationship Id="rId217" Type="http://schemas.openxmlformats.org/officeDocument/2006/relationships/hyperlink" Target="https://www.carmag.co.za/car-price-guide-view/bmw-m440i-xdrive-coupe/Qk1XIE00NDBpIHhEcml2ZSBDb3Vww6k=/?price=1327599" TargetMode="External"/><Relationship Id="rId259" Type="http://schemas.openxmlformats.org/officeDocument/2006/relationships/hyperlink" Target="https://www.carmag.co.za/car-price-guide-view/porsche-taycan/UG9yc2NoZSBUYXljYW4=/?price=2179000" TargetMode="External"/><Relationship Id="rId23" Type="http://schemas.openxmlformats.org/officeDocument/2006/relationships/hyperlink" Target="https://www.carmag.co.za/car-price-guide-view/kia-picanto-1-2-x-line/S2lhIFBpY2FudG8gMS4yIFgtTGluZQ==/?price=273995" TargetMode="External"/><Relationship Id="rId119" Type="http://schemas.openxmlformats.org/officeDocument/2006/relationships/hyperlink" Target="https://www.carmag.co.za/car-price-guide-view/bmw-220i-gran-coupe-m-sport/Qk1XIDIyMGkgR3JhbiBDb3Vww6kgTSBTcG9ydA==/?price=778290" TargetMode="External"/><Relationship Id="rId270" Type="http://schemas.openxmlformats.org/officeDocument/2006/relationships/hyperlink" Target="https://www.carmag.co.za/car-price-guide-view/porsche-panamera-4-e-hybrid-platinum-edition/UG9yc2NoZSBQYW5hbWVyYSA0IGUtaHlicmlkIFBsYXRpbnVtIEVkaXRpb24=/?price=2335000" TargetMode="External"/><Relationship Id="rId326" Type="http://schemas.openxmlformats.org/officeDocument/2006/relationships/hyperlink" Target="https://www.carmag.co.za/car-price-guide-view/bentley-flying-spur-v8/QmVudGxleSBGbHlpbmcgU3B1ciBWOA==/?price=4420000" TargetMode="External"/><Relationship Id="rId65" Type="http://schemas.openxmlformats.org/officeDocument/2006/relationships/hyperlink" Target="https://www.carmag.co.za/car-price-guide-view/audi-a1-sportback-30tfsi/QXVkaSBBMSBTcG9ydGJhY2sgMzBURlNJ/?price=467300" TargetMode="External"/><Relationship Id="rId130" Type="http://schemas.openxmlformats.org/officeDocument/2006/relationships/hyperlink" Target="https://www.carmag.co.za/car-price-guide-view/audi-a4-40tfsi-s-line/QXVkaSBBNCA0MFRGU0kgUyBsaW5l/?price=839800" TargetMode="External"/><Relationship Id="rId172" Type="http://schemas.openxmlformats.org/officeDocument/2006/relationships/hyperlink" Target="https://www.carmag.co.za/car-price-guide-view/mercedes-benz-c220d-avantgarde/TWVyY2VkZXMtQmVueiBDMjIwZCBBdmFudGdhcmRl/?price=1030549" TargetMode="External"/><Relationship Id="rId228" Type="http://schemas.openxmlformats.org/officeDocument/2006/relationships/hyperlink" Target="https://www.carmag.co.za/car-price-guide-view/porsche-718-cayman-gts-4-0/UG9yc2NoZSA3MTggQ2F5bWFuIEdUUyA0LjA=/?price=1549000" TargetMode="External"/><Relationship Id="rId281" Type="http://schemas.openxmlformats.org/officeDocument/2006/relationships/hyperlink" Target="https://www.carmag.co.za/car-price-guide-view/bmw-m5-competition/Qk1XIE01IGNvbXBldGl0aW9u/?price=2472466" TargetMode="External"/><Relationship Id="rId337" Type="http://schemas.openxmlformats.org/officeDocument/2006/relationships/hyperlink" Target="https://www.carmag.co.za/car-price-guide-view/lamborghini-huracan-tecnica/TGFtYm9yZ2hpbmkgSHVyYWPDoW4gVGVjbmljYQ==/?price=5475000" TargetMode="External"/><Relationship Id="rId34" Type="http://schemas.openxmlformats.org/officeDocument/2006/relationships/hyperlink" Target="https://www.carmag.co.za/car-price-guide-view/kia-rio-1-4-ls/S2lhIFJpbyAxLjQgTFM=/?price=330995" TargetMode="External"/><Relationship Id="rId76" Type="http://schemas.openxmlformats.org/officeDocument/2006/relationships/hyperlink" Target="https://www.carmag.co.za/car-price-guide-view/toyota-corolla-hatch-2-0-xr/VG95b3RhIENvcm9sbGEgSGF0Y2ggMi4wIFhS/?price=529000" TargetMode="External"/><Relationship Id="rId141" Type="http://schemas.openxmlformats.org/officeDocument/2006/relationships/hyperlink" Target="https://www.carmag.co.za/car-price-guide-view/bmw-220d-coupe-m-sport/Qk1XIDIyMGQgQ291cMOpIE0gU3BvcnQ=/?price=889706" TargetMode="External"/><Relationship Id="rId7" Type="http://schemas.openxmlformats.org/officeDocument/2006/relationships/hyperlink" Target="https://www.carmag.co.za/car-price-guide-view/suzuki-celerio-1-0-gl/U3V6dWtpIENlbGVyaW8gMS4wIEdM/?price=213900" TargetMode="External"/><Relationship Id="rId183" Type="http://schemas.openxmlformats.org/officeDocument/2006/relationships/hyperlink" Target="https://www.carmag.co.za/car-price-guide-view/bmw-530i/Qk1XIDUzMGk=/?price=1083956" TargetMode="External"/><Relationship Id="rId239" Type="http://schemas.openxmlformats.org/officeDocument/2006/relationships/hyperlink" Target="https://www.carmag.co.za/car-price-guide-view/mercedes-amg-e53-coupe-4matic/TWVyY2VkZXMtQU1HIEU1MyBDb3Vww6kgNE1hdGljKw==/?price=1780103" TargetMode="External"/><Relationship Id="rId250" Type="http://schemas.openxmlformats.org/officeDocument/2006/relationships/hyperlink" Target="https://www.carmag.co.za/car-price-guide-view/bmw-m3-competition-m-xdrive/Qk1XIE0zIGNvbXBldGl0aW9uIE0geERyaXZl/?price=2040797" TargetMode="External"/><Relationship Id="rId292" Type="http://schemas.openxmlformats.org/officeDocument/2006/relationships/hyperlink" Target="https://www.carmag.co.za/car-price-guide-view/mercedes-amg-e63-s-4matic/TWVyY2VkZXMtQU1HIEU2MyBTIDRNYXRpYys=/?price=2670479" TargetMode="External"/><Relationship Id="rId306" Type="http://schemas.openxmlformats.org/officeDocument/2006/relationships/hyperlink" Target="https://www.carmag.co.za/car-price-guide-view/porsche-911-gt3/UG9yc2NoZSA5MTEgR1Qz/?price=3349000" TargetMode="External"/><Relationship Id="rId45" Type="http://schemas.openxmlformats.org/officeDocument/2006/relationships/hyperlink" Target="https://www.carmag.co.za/car-price-guide-view/toyota-corolla-quest-1-8-exclusive/VG95b3RhIENvcm9sbGEgUXVlc3QgMS44IEV4Y2x1c2l2ZQ==/?price=379600" TargetMode="External"/><Relationship Id="rId87" Type="http://schemas.openxmlformats.org/officeDocument/2006/relationships/hyperlink" Target="https://www.carmag.co.za/car-price-guide-view/mini-cooper-s-hatch-5-door/TUlOSSBDb29wZXIgUyBIYXRjaCA1LWRvb3I=/?price=626053" TargetMode="External"/><Relationship Id="rId110" Type="http://schemas.openxmlformats.org/officeDocument/2006/relationships/hyperlink" Target="https://www.carmag.co.za/car-price-guide-view/volkswagen-golf-gti/Vm9sa3N3YWdlbiBHb2xmIEdUSQ==/?price=744200" TargetMode="External"/><Relationship Id="rId348" Type="http://schemas.openxmlformats.org/officeDocument/2006/relationships/hyperlink" Target="https://www.carmag.co.za/car-price-guide-view/maserati-mc20-coupe/TWFzZXJhdGkgTUMyMCBDb3Vww6k=/?price=6750000" TargetMode="External"/><Relationship Id="rId152" Type="http://schemas.openxmlformats.org/officeDocument/2006/relationships/hyperlink" Target="https://www.carmag.co.za/car-price-guide-view/mercedes-benz-cla220d-amg-line/TWVyY2VkZXMtQmVueiBDTEEyMjBkIEFNRyBMaW5l/?price=928749" TargetMode="External"/><Relationship Id="rId194" Type="http://schemas.openxmlformats.org/officeDocument/2006/relationships/hyperlink" Target="https://www.carmag.co.za/car-price-guide-view/toyota-gr-supra-3-0t-track/VG95b3RhIEdSIFN1cHJhIDMuMFQgVHJhY2s=/?price=1155900" TargetMode="External"/><Relationship Id="rId208" Type="http://schemas.openxmlformats.org/officeDocument/2006/relationships/hyperlink" Target="https://www.carmag.co.za/car-price-guide-view/mercedes-benz-e300-coupe-amg-line/TWVyY2VkZXMtQmVueiBFMzAwIENvdXDDqSBBTUcgTGluZQ==/?price=1240989" TargetMode="External"/><Relationship Id="rId261" Type="http://schemas.openxmlformats.org/officeDocument/2006/relationships/hyperlink" Target="https://www.carmag.co.za/car-price-guide-view/bmw-m4-competition-convertible-m-xdrive/Qk1XIE00IGNvbXBldGl0aW9uIENvbnZlcnRpYmxlIE0geERyaXZl/?price=2201556" TargetMode="External"/><Relationship Id="rId14" Type="http://schemas.openxmlformats.org/officeDocument/2006/relationships/hyperlink" Target="https://www.carmag.co.za/car-price-guide-view/kia-picanto-1-2-street/S2lhIFBpY2FudG8gMS4yIFN0cmVldA==/?price=246995" TargetMode="External"/><Relationship Id="rId56" Type="http://schemas.openxmlformats.org/officeDocument/2006/relationships/hyperlink" Target="https://www.carmag.co.za/car-price-guide-view/hyundai-i20-1-0t-n-line/SHl1bmRhaSBpMjAgMS4wVCBOIExpbmU=/?price=428900" TargetMode="External"/><Relationship Id="rId317" Type="http://schemas.openxmlformats.org/officeDocument/2006/relationships/hyperlink" Target="https://www.carmag.co.za/car-price-guide-view/porsche-911-turbo-coupe/UG9yc2NoZSA5MTEgdHVyYm8gQ291cMOp/?price=3669000" TargetMode="External"/><Relationship Id="rId98" Type="http://schemas.openxmlformats.org/officeDocument/2006/relationships/hyperlink" Target="https://www.carmag.co.za/car-price-guide-view/audi-a3-sportback-40tfsi-s-line/QXVkaSBBMyBTcG9ydGJhY2sgNDBURlNJIFMgbGluZQ==/?price=710600" TargetMode="External"/><Relationship Id="rId121" Type="http://schemas.openxmlformats.org/officeDocument/2006/relationships/hyperlink" Target="https://www.carmag.co.za/car-price-guide-view/audi-a4-35tdi/QXVkaSBBNCAzNVRESQ==/?price=784500" TargetMode="External"/><Relationship Id="rId163" Type="http://schemas.openxmlformats.org/officeDocument/2006/relationships/hyperlink" Target="https://www.carmag.co.za/car-price-guide-view/bmw-420i-convertible/Qk1XIDQyMGkgQ29udmVydGlibGU=/?price=987853" TargetMode="External"/><Relationship Id="rId219" Type="http://schemas.openxmlformats.org/officeDocument/2006/relationships/hyperlink" Target="https://www.carmag.co.za/car-price-guide-view/mercedes-amg-c43-coupe-4matic/TWVyY2VkZXMtQU1HIEM0MyBDb3Vww6kgNE1hdGlj/?price=1358432" TargetMode="External"/><Relationship Id="rId230" Type="http://schemas.openxmlformats.org/officeDocument/2006/relationships/hyperlink" Target="https://www.carmag.co.za/car-price-guide-view/audi-rs5-sportback-quattro/QXVkaSBSUzUgU3BvcnRiYWNrIHF1YXR0cm8=/?price=1567700" TargetMode="External"/><Relationship Id="rId251" Type="http://schemas.openxmlformats.org/officeDocument/2006/relationships/hyperlink" Target="https://www.carmag.co.za/car-price-guide-view/porsche-panamera-4-platinum-edition/UG9yc2NoZSBQYW5hbWVyYSA0IFBsYXRpbnVtIEVkaXRpb24=/?price=2063000" TargetMode="External"/><Relationship Id="rId25" Type="http://schemas.openxmlformats.org/officeDocument/2006/relationships/hyperlink" Target="https://www.carmag.co.za/car-price-guide-view/fiat-500-twinair-club/RmlhdCA1MDAgVHdpbkFpciBDbHVi/?price=289900" TargetMode="External"/><Relationship Id="rId46" Type="http://schemas.openxmlformats.org/officeDocument/2006/relationships/hyperlink" Target="https://www.carmag.co.za/car-price-guide-view/volkswagen-polo-sedan-1-6-life/Vm9sa3N3YWdlbiBQb2xvIFNlZGFuIDEuNiBMaWZl/?price=381700" TargetMode="External"/><Relationship Id="rId67" Type="http://schemas.openxmlformats.org/officeDocument/2006/relationships/hyperlink" Target="https://www.carmag.co.za/car-price-guide-view/audi-a1-sportback-30tfsi-s-line/QXVkaSBBMSBTcG9ydGJhY2sgMzBURlNJIFMgbGluZQ==/?price=489800" TargetMode="External"/><Relationship Id="rId272" Type="http://schemas.openxmlformats.org/officeDocument/2006/relationships/hyperlink" Target="https://www.carmag.co.za/car-price-guide-view/audi-rs7-sportback-quattro/QXVkaSBSUzcgU3BvcnRiYWNrIHF1YXR0cm8=/?price=2366400" TargetMode="External"/><Relationship Id="rId293" Type="http://schemas.openxmlformats.org/officeDocument/2006/relationships/hyperlink" Target="https://www.carmag.co.za/car-price-guide-view/porsche-911-carrera-gts-cabriolet/UG9yc2NoZSA5MTEgQ2FycmVyYSBHVFMgQ2FicmlvbGV0/?price=2679000" TargetMode="External"/><Relationship Id="rId307" Type="http://schemas.openxmlformats.org/officeDocument/2006/relationships/hyperlink" Target="https://www.carmag.co.za/car-price-guide-view/maserati-ghibli-trofeo/TWFzZXJhdGkgR2hpYmxpIFRyb2Zlbw==/?price=3350000" TargetMode="External"/><Relationship Id="rId328" Type="http://schemas.openxmlformats.org/officeDocument/2006/relationships/hyperlink" Target="https://www.carmag.co.za/car-price-guide-view/bentley-flying-spur-hybrid/QmVudGxleSBGbHlpbmcgU3B1ciBIeWJyaWQ=/?price=4520000" TargetMode="External"/><Relationship Id="rId349" Type="http://schemas.openxmlformats.org/officeDocument/2006/relationships/hyperlink" Target="https://www.carmag.co.za/car-price-guide-view/bentley-continental-gt-w12-mulliner/QmVudGxleSBDb250aW5lbnRhbCBHVCBXMTIgTXVsbGluZXI=/?price=6770000" TargetMode="External"/><Relationship Id="rId88" Type="http://schemas.openxmlformats.org/officeDocument/2006/relationships/hyperlink" Target="https://www.carmag.co.za/car-price-guide-view/mini-cooper-s-hatch-5-door-resolute-edition/TUlOSSBDb29wZXIgUyBIYXRjaCA1LWRvb3IgUmVzb2x1dGUgRWRpdGlvbg==/?price=635553" TargetMode="External"/><Relationship Id="rId111" Type="http://schemas.openxmlformats.org/officeDocument/2006/relationships/hyperlink" Target="https://www.carmag.co.za/car-price-guide-view/mini-cooper-se-hatch-3-door-resolute-edition/TUlOSSBDb29wZXIgU0UgSGF0Y2ggMy1kb29yIFJlc29sdXRlIEVkaXRpb24=/?price=745402" TargetMode="External"/><Relationship Id="rId132" Type="http://schemas.openxmlformats.org/officeDocument/2006/relationships/hyperlink" Target="https://www.carmag.co.za/car-price-guide-view/audi-a5-sportback-40tfsi/QXVkaSBBNSBTcG9ydGJhY2sgNDBURlNJ/?price=849300" TargetMode="External"/><Relationship Id="rId153" Type="http://schemas.openxmlformats.org/officeDocument/2006/relationships/hyperlink" Target="https://www.carmag.co.za/car-price-guide-view/bmw-m135i-xdrive/Qk1XIE0xMzVpIHhEcml2ZQ==/?price=930537" TargetMode="External"/><Relationship Id="rId174" Type="http://schemas.openxmlformats.org/officeDocument/2006/relationships/hyperlink" Target="https://www.carmag.co.za/car-price-guide-view/lexus-is-300h-f-sport/TGV4dXMgSVMgMzAwaCBGIFNwb3J0/?price=1036400" TargetMode="External"/><Relationship Id="rId195" Type="http://schemas.openxmlformats.org/officeDocument/2006/relationships/hyperlink" Target="https://www.carmag.co.za/car-price-guide-view/mercedes-amg-cla35-4matic/TWVyY2VkZXMtQU1HIENMQTM1IDRNYXRpYw==/?price=1166348" TargetMode="External"/><Relationship Id="rId209" Type="http://schemas.openxmlformats.org/officeDocument/2006/relationships/hyperlink" Target="https://www.carmag.co.za/car-price-guide-view/audi-rs3-sedan-quattro/QXVkaSBSUzMgU2VkYW4gcXVhdHRybw==/?price=1245000" TargetMode="External"/><Relationship Id="rId220" Type="http://schemas.openxmlformats.org/officeDocument/2006/relationships/hyperlink" Target="https://www.carmag.co.za/car-price-guide-view/mercedes-benz-e300-cabriolet-amg-line/TWVyY2VkZXMtQmVueiBFMzAwIENhYnJpb2xldCBBTUcgTGluZQ==/?price=1393444" TargetMode="External"/><Relationship Id="rId241" Type="http://schemas.openxmlformats.org/officeDocument/2006/relationships/hyperlink" Target="https://www.carmag.co.za/car-price-guide-view/alfa-romeo-giulia-quadrifoglio/QWxmYSBSb21lbyBHaXVsaWEgUXVhZHJpZm9nbGlv/?price=1805900" TargetMode="External"/><Relationship Id="rId15" Type="http://schemas.openxmlformats.org/officeDocument/2006/relationships/hyperlink" Target="https://www.carmag.co.za/car-price-guide-view/kia-picanto-1-0-style/S2lhIFBpY2FudG8gMS4wIFN0eWxl/?price=247995" TargetMode="External"/><Relationship Id="rId36" Type="http://schemas.openxmlformats.org/officeDocument/2006/relationships/hyperlink" Target="https://www.carmag.co.za/car-price-guide-view/kia-rio-1-4-lx/S2lhIFJpbyAxLjQgTFg=/?price=345995" TargetMode="External"/><Relationship Id="rId57" Type="http://schemas.openxmlformats.org/officeDocument/2006/relationships/hyperlink" Target="https://www.carmag.co.za/car-price-guide-view/opel-corsa-1-2t-elegance/T3BlbCBDb3JzYSAxLjJUIEVsZWdhbmNl/?price=436900" TargetMode="External"/><Relationship Id="rId262" Type="http://schemas.openxmlformats.org/officeDocument/2006/relationships/hyperlink" Target="https://www.carmag.co.za/car-price-guide-view/mercedes-amg-c63-s-cabriolet/TWVyY2VkZXMtQU1HIEM2MyBTIENhYnJpb2xldA==/?price=2204756" TargetMode="External"/><Relationship Id="rId283" Type="http://schemas.openxmlformats.org/officeDocument/2006/relationships/hyperlink" Target="https://www.carmag.co.za/car-price-guide-view/mercedes-benz-s350d-l-amg-line/TWVyY2VkZXMtQmVueiBTMzUwZCBMIEFNRyBMaW5l/?price=2512639" TargetMode="External"/><Relationship Id="rId318" Type="http://schemas.openxmlformats.org/officeDocument/2006/relationships/hyperlink" Target="https://www.carmag.co.za/car-price-guide-view/mercedes-maybach-s580/TWVyY2VkZXMtTWF5YmFjaCBTNTgw/?price=3736681" TargetMode="External"/><Relationship Id="rId339" Type="http://schemas.openxmlformats.org/officeDocument/2006/relationships/hyperlink" Target="https://www.carmag.co.za/car-price-guide-view/bentley-continental-gtc-s/QmVudGxleSBDb250aW5lbnRhbCBHVEMgUw==/?price=5680000" TargetMode="External"/><Relationship Id="rId78" Type="http://schemas.openxmlformats.org/officeDocument/2006/relationships/hyperlink" Target="https://www.carmag.co.za/car-price-guide-view/mini-cooper-hatch-3-door/TUlOSSBDb29wZXIgSGF0Y2ggMy1kb29y/?price=534873" TargetMode="External"/><Relationship Id="rId99" Type="http://schemas.openxmlformats.org/officeDocument/2006/relationships/hyperlink" Target="https://www.carmag.co.za/car-price-guide-view/bmw-118d-m-sport/Qk1XIDExOGQgTSBTcG9ydA==/?price=714950" TargetMode="External"/><Relationship Id="rId101" Type="http://schemas.openxmlformats.org/officeDocument/2006/relationships/hyperlink" Target="https://www.carmag.co.za/car-price-guide-view/audi-a3-sedan-40tfsi-s-line/QXVkaSBBMyBTZWRhbiA0MFRGU0kgUyBsaW5l/?price=725600" TargetMode="External"/><Relationship Id="rId122" Type="http://schemas.openxmlformats.org/officeDocument/2006/relationships/hyperlink" Target="https://www.carmag.co.za/car-price-guide-view/mercedes-benz-a200-sedan-progressive/TWVyY2VkZXMtQmVueiBBMjAwIFNlZGFuIFByb2dyZXNzaXZl/?price=784554" TargetMode="External"/><Relationship Id="rId143" Type="http://schemas.openxmlformats.org/officeDocument/2006/relationships/hyperlink" Target="https://www.carmag.co.za/car-price-guide-view/audi-a5-sportback-40tfsi-s-line/QXVkaSBBNSBTcG9ydGJhY2sgNDBURlNJIFMgbGluZQ==/?price=894300" TargetMode="External"/><Relationship Id="rId164" Type="http://schemas.openxmlformats.org/officeDocument/2006/relationships/hyperlink" Target="https://www.carmag.co.za/car-price-guide-view/mercedes-benz-e200-avantgarde/TWVyY2VkZXMtQmVueiBFMjAwIEF2YW50Z2FyZGU=/?price=993289" TargetMode="External"/><Relationship Id="rId185" Type="http://schemas.openxmlformats.org/officeDocument/2006/relationships/hyperlink" Target="https://www.carmag.co.za/car-price-guide-view/alfa-romeo-giulia-2-0t-veloce/QWxmYSBSb21lbyBHaXVsaWEgMi4wVCBWZWxvY2U=/?price=1086900" TargetMode="External"/><Relationship Id="rId350" Type="http://schemas.openxmlformats.org/officeDocument/2006/relationships/hyperlink" Target="https://www.carmag.co.za/car-price-guide-view/ferrari-296-gtb/RmVycmFyaSAyOTYgR1RC/?price=6804200" TargetMode="External"/><Relationship Id="rId9" Type="http://schemas.openxmlformats.org/officeDocument/2006/relationships/hyperlink" Target="https://www.carmag.co.za/car-price-guide-view/kia-picanto-1-0-start/S2lhIFBpY2FudG8gMS4wIFN0YXJ0/?price=223995" TargetMode="External"/><Relationship Id="rId210" Type="http://schemas.openxmlformats.org/officeDocument/2006/relationships/hyperlink" Target="https://www.carmag.co.za/car-price-guide-view/audi-a6-45tdi-quattro/QXVkaSBBNiA0NVRESSBxdWF0dHJv/?price=1245700" TargetMode="External"/><Relationship Id="rId26" Type="http://schemas.openxmlformats.org/officeDocument/2006/relationships/hyperlink" Target="https://www.carmag.co.za/car-price-guide-view/hyundai-grand-i10-1-2-fluid/SHl1bmRhaSBHcmFuZCBpMTAgMS4yIEZsdWlk/?price=291900" TargetMode="External"/><Relationship Id="rId231" Type="http://schemas.openxmlformats.org/officeDocument/2006/relationships/hyperlink" Target="https://www.carmag.co.za/car-price-guide-view/audi-s6-tfsi-quattro/QXVkaSBTNiBURlNJIHF1YXR0cm8=/?price=1586900" TargetMode="External"/><Relationship Id="rId252" Type="http://schemas.openxmlformats.org/officeDocument/2006/relationships/hyperlink" Target="https://www.carmag.co.za/car-price-guide-view/porsche-911-carrera-cabriolet/UG9yc2NoZSA5MTEgQ2FycmVyYSBDYWJyaW9sZXQ=/?price=2079000" TargetMode="External"/><Relationship Id="rId273" Type="http://schemas.openxmlformats.org/officeDocument/2006/relationships/hyperlink" Target="https://www.carmag.co.za/car-price-guide-view/bmw-740d-xdrive-m-sport/Qk1XIDc0MGQgeERyaXZlIE0gU3BvcnQ=/?price=2368207" TargetMode="External"/><Relationship Id="rId294" Type="http://schemas.openxmlformats.org/officeDocument/2006/relationships/hyperlink" Target="https://www.carmag.co.za/car-price-guide-view/audi-e-tron-gt-quattro/QXVkaSBlLXRyb24gR1QgcXVhdHRybw==/?price=2715000" TargetMode="External"/><Relationship Id="rId308" Type="http://schemas.openxmlformats.org/officeDocument/2006/relationships/hyperlink" Target="https://www.carmag.co.za/car-price-guide-view/audi-rs-e-tron-gt-quattro/QXVkaSBSUyBlLXRyb24gR1QgcXVhdHRybw==/?price=3359400" TargetMode="External"/><Relationship Id="rId329" Type="http://schemas.openxmlformats.org/officeDocument/2006/relationships/hyperlink" Target="https://www.carmag.co.za/car-price-guide-view/bentley-continental-gt-v8/QmVudGxleSBDb250aW5lbnRhbCBHVCBWOA==/?price=4590000" TargetMode="External"/><Relationship Id="rId47" Type="http://schemas.openxmlformats.org/officeDocument/2006/relationships/hyperlink" Target="https://www.carmag.co.za/car-price-guide-view/kia-rio-1-4-tec/S2lhIFJpbyAxLjQgVGVj/?price=383995" TargetMode="External"/><Relationship Id="rId68" Type="http://schemas.openxmlformats.org/officeDocument/2006/relationships/hyperlink" Target="https://www.carmag.co.za/car-price-guide-view/fiat-tipo-hatch-1-6-life/RmlhdCBUaXBvIEhhdGNoIDEuNiBMaWZl/?price=489900" TargetMode="External"/><Relationship Id="rId89" Type="http://schemas.openxmlformats.org/officeDocument/2006/relationships/hyperlink" Target="https://www.carmag.co.za/car-price-guide-view/audi-a3-sedan-35tfsi/QXVkaSBBMyBTZWRhbiAzNVRGU0k=/?price=637800" TargetMode="External"/><Relationship Id="rId112" Type="http://schemas.openxmlformats.org/officeDocument/2006/relationships/hyperlink" Target="https://www.carmag.co.za/car-price-guide-view/toyota-gr86/VG95b3RhIEdSODY=/?price=748400" TargetMode="External"/><Relationship Id="rId133" Type="http://schemas.openxmlformats.org/officeDocument/2006/relationships/hyperlink" Target="https://www.carmag.co.za/car-price-guide-view/bmw-420i-coupe/Qk1XIDQyMGkgQ291cMOp/?price=852742" TargetMode="External"/><Relationship Id="rId154" Type="http://schemas.openxmlformats.org/officeDocument/2006/relationships/hyperlink" Target="https://www.carmag.co.za/car-price-guide-view/bmw-320d-m-sport/Qk1XIDMyMGQgTSBTcG9ydA==/?price=930768" TargetMode="External"/><Relationship Id="rId175" Type="http://schemas.openxmlformats.org/officeDocument/2006/relationships/hyperlink" Target="https://www.carmag.co.za/car-price-guide-view/volvo-s90-b5-ultimate-bright/Vm9sdm8gUzkwIEI1IFVsdGltYXRlIEJyaWdodA==/?price=1039300" TargetMode="External"/><Relationship Id="rId340" Type="http://schemas.openxmlformats.org/officeDocument/2006/relationships/hyperlink" Target="https://www.carmag.co.za/car-price-guide-view/bentley-continental-gt-speed/QmVudGxleSBDb250aW5lbnRhbCBHVCBTcGVlZA==/?price=5690000" TargetMode="External"/><Relationship Id="rId196" Type="http://schemas.openxmlformats.org/officeDocument/2006/relationships/hyperlink" Target="https://www.carmag.co.za/car-price-guide-view/audi-s5-tfsi-coupe-quattro/QXVkaSBTNSBURlNJIENvdXDDqSBxdWF0dHJv/?price=1169400" TargetMode="External"/><Relationship Id="rId200" Type="http://schemas.openxmlformats.org/officeDocument/2006/relationships/hyperlink" Target="https://www.carmag.co.za/car-price-guide-view/ford-mustang-5-0-gt-cs-california-special-fastback/Rm9yZCBNdXN0YW5nIDUuMCBHVC9DUyBDYWxpZm9ybmlhIFNwZWNpYWwgZmFzdGJhY2s=/?price=1187500" TargetMode="External"/><Relationship Id="rId16" Type="http://schemas.openxmlformats.org/officeDocument/2006/relationships/hyperlink" Target="https://www.carmag.co.za/car-price-guide-view/suzuki-swift-1-2-glx/U3V6dWtpIFN3aWZ0IDEuMiBHTFg=/?price=248900" TargetMode="External"/><Relationship Id="rId221" Type="http://schemas.openxmlformats.org/officeDocument/2006/relationships/hyperlink" Target="https://www.carmag.co.za/car-price-guide-view/bmw-m440i-xdrive-gran-coupe/Qk1XIE00NDBpIHhEcml2ZSBHcmFuIENvdXDDqQ==/?price=1413966" TargetMode="External"/><Relationship Id="rId242" Type="http://schemas.openxmlformats.org/officeDocument/2006/relationships/hyperlink" Target="https://www.carmag.co.za/car-price-guide-view/porsche-718-spyder/UG9yc2NoZSA3MTggU3B5ZGVy/?price=1839000" TargetMode="External"/><Relationship Id="rId263" Type="http://schemas.openxmlformats.org/officeDocument/2006/relationships/hyperlink" Target="https://www.carmag.co.za/car-price-guide-view/porsche-911-targa-4/UG9yc2NoZSA5MTEgdGFyZ2EgNA==/?price=2209000" TargetMode="External"/><Relationship Id="rId284" Type="http://schemas.openxmlformats.org/officeDocument/2006/relationships/hyperlink" Target="https://www.carmag.co.za/car-price-guide-view/lexus-lc-500-convertible/TGV4dXMgTEMgNTAwIENvbnZlcnRpYmxl/?price=2513500" TargetMode="External"/><Relationship Id="rId319" Type="http://schemas.openxmlformats.org/officeDocument/2006/relationships/hyperlink" Target="https://www.carmag.co.za/car-price-guide-view/audi-r8-spyder-v10-performance-quattro/QXVkaSBSOCBTcHlkZXIgVjEwIHBlcmZvcm1hbmNlIHF1YXR0cm8=/?price=3795100" TargetMode="External"/><Relationship Id="rId37" Type="http://schemas.openxmlformats.org/officeDocument/2006/relationships/hyperlink" Target="https://www.carmag.co.za/car-price-guide-view/honda-fit-1-5-comfort/SG9uZGEgRml0IDEuNSBDb21mb3J0/?price=347500" TargetMode="External"/><Relationship Id="rId58" Type="http://schemas.openxmlformats.org/officeDocument/2006/relationships/hyperlink" Target="https://www.carmag.co.za/car-price-guide-view/honda-ballade-1-5-rs/SG9uZGEgQmFsbGFkZSAxLjUgUlM=/?price=440900" TargetMode="External"/><Relationship Id="rId79" Type="http://schemas.openxmlformats.org/officeDocument/2006/relationships/hyperlink" Target="https://www.carmag.co.za/car-price-guide-view/toyota-corolla-hatch-1-8-hybrid-xr/VG95b3RhIENvcm9sbGEgSGF0Y2ggMS44IEh5YnJpZCBYUg==/?price=539000" TargetMode="External"/><Relationship Id="rId102" Type="http://schemas.openxmlformats.org/officeDocument/2006/relationships/hyperlink" Target="https://www.carmag.co.za/car-price-guide-view/bmw-218i-gran-coupe-m-sport/Qk1XIDIxOGkgR3JhbiBDb3Vww6kgTSBTcG9ydA==/?price=726772" TargetMode="External"/><Relationship Id="rId123" Type="http://schemas.openxmlformats.org/officeDocument/2006/relationships/hyperlink" Target="https://www.carmag.co.za/car-price-guide-view/audi-a4-40tfsi/QXVkaSBBNCA0MFRGU0k=/?price=794800" TargetMode="External"/><Relationship Id="rId144" Type="http://schemas.openxmlformats.org/officeDocument/2006/relationships/hyperlink" Target="https://www.carmag.co.za/car-price-guide-view/audi-s3-sedan-quattro/QXVkaSBTMyBTZWRhbiBxdWF0dHJv/?price=898100" TargetMode="External"/><Relationship Id="rId330" Type="http://schemas.openxmlformats.org/officeDocument/2006/relationships/hyperlink" Target="https://www.carmag.co.za/car-price-guide-view/mercedes-maybach-s680/TWVyY2VkZXMtTWF5YmFjaCBTNjgw/?price=4656157" TargetMode="External"/><Relationship Id="rId90" Type="http://schemas.openxmlformats.org/officeDocument/2006/relationships/hyperlink" Target="https://www.carmag.co.za/car-price-guide-view/bmw-118i/Qk1XIDExOGk=/?price=641072" TargetMode="External"/><Relationship Id="rId165" Type="http://schemas.openxmlformats.org/officeDocument/2006/relationships/hyperlink" Target="https://www.carmag.co.za/car-price-guide-view/volvo-s90-b5-plus-dark/Vm9sdm8gUzkwIEI1IFBsdXMgRGFyaw==/?price=998300" TargetMode="External"/><Relationship Id="rId186" Type="http://schemas.openxmlformats.org/officeDocument/2006/relationships/hyperlink" Target="https://www.carmag.co.za/car-price-guide-view/audi-s4-tfsi-quattro/QXVkaSBTNCBURlNJIHF1YXR0cm8=/?price=1087000" TargetMode="External"/><Relationship Id="rId351" Type="http://schemas.openxmlformats.org/officeDocument/2006/relationships/hyperlink" Target="https://www.carmag.co.za/car-price-guide-view/bentley-continental-gtc-w12-mulliner/QmVudGxleSBDb250aW5lbnRhbCBHVEMgVzEyIE11bGxpbmVy/?price=7460000" TargetMode="External"/><Relationship Id="rId211" Type="http://schemas.openxmlformats.org/officeDocument/2006/relationships/hyperlink" Target="https://www.carmag.co.za/car-price-guide-view/mercedes-amg-a45-s-hatch-4matic/TWVyY2VkZXMtQU1HIEE0NSBTIEhhdGNoIDRNYXRpYys=/?price=1256243" TargetMode="External"/><Relationship Id="rId232" Type="http://schemas.openxmlformats.org/officeDocument/2006/relationships/hyperlink" Target="https://www.carmag.co.za/car-price-guide-view/porsche-718-boxster-gts-4-0/UG9yc2NoZSA3MTggQm94c3RlciBHVFMgNC4w/?price=1589000" TargetMode="External"/><Relationship Id="rId253" Type="http://schemas.openxmlformats.org/officeDocument/2006/relationships/hyperlink" Target="https://www.carmag.co.za/car-price-guide-view/porsche-911-carrera-t/UG9yc2NoZSA5MTEgQ2FycmVyYSBU/?price=2080000" TargetMode="External"/><Relationship Id="rId274" Type="http://schemas.openxmlformats.org/officeDocument/2006/relationships/hyperlink" Target="https://www.carmag.co.za/car-price-guide-view/lexus-lc-500-coupe/TGV4dXMgTEMgNTAwIENvdXDDqQ==/?price=2371000" TargetMode="External"/><Relationship Id="rId295" Type="http://schemas.openxmlformats.org/officeDocument/2006/relationships/hyperlink" Target="https://www.carmag.co.za/car-price-guide-view/mercedes-benz-s500-l-4matic/TWVyY2VkZXMtQmVueiBTNTAwIEwgNE1hdGlj/?price=2735064" TargetMode="External"/><Relationship Id="rId309" Type="http://schemas.openxmlformats.org/officeDocument/2006/relationships/hyperlink" Target="https://www.carmag.co.za/car-price-guide-view/bmw-m8-competition-gran-coupe/Qk1XIE04IGNvbXBldGl0aW9uIEdyYW4gQ291cMOp/?price=3372466" TargetMode="External"/><Relationship Id="rId27" Type="http://schemas.openxmlformats.org/officeDocument/2006/relationships/hyperlink" Target="https://www.carmag.co.za/car-price-guide-view/volkswagen-polo-vivo-1-6-comfortline/Vm9sa3N3YWdlbiBQb2xvIFZpdm8gMS42IENvbWZvcnRsaW5l/?price=296600" TargetMode="External"/><Relationship Id="rId48" Type="http://schemas.openxmlformats.org/officeDocument/2006/relationships/hyperlink" Target="https://www.carmag.co.za/car-price-guide-view/honda-fit-1-5-elegance/SG9uZGEgRml0IDEuNSBFbGVnYW5jZQ==/?price=391000" TargetMode="External"/><Relationship Id="rId69" Type="http://schemas.openxmlformats.org/officeDocument/2006/relationships/hyperlink" Target="https://www.carmag.co.za/car-price-guide-view/toyota-corolla-hatch-1-8-hybrid-xs/VG95b3RhIENvcm9sbGEgSGF0Y2ggMS44IEh5YnJpZCBYUw==/?price=500700" TargetMode="External"/><Relationship Id="rId113" Type="http://schemas.openxmlformats.org/officeDocument/2006/relationships/hyperlink" Target="https://www.carmag.co.za/car-price-guide-view/mini-cooper-s-convertible-resolute-edition/TUlOSSBDb29wZXIgUyBDb252ZXJ0aWJsZSBSZXNvbHV0ZSBFZGl0aW9u/?price=748510" TargetMode="External"/><Relationship Id="rId134" Type="http://schemas.openxmlformats.org/officeDocument/2006/relationships/hyperlink" Target="https://www.carmag.co.za/car-price-guide-view/mercedes-benz-cla200-progressive/TWVyY2VkZXMtQmVueiBDTEEyMDAgUHJvZ3Jlc3NpdmU=/?price=856463" TargetMode="External"/><Relationship Id="rId320" Type="http://schemas.openxmlformats.org/officeDocument/2006/relationships/hyperlink" Target="https://www.carmag.co.za/car-price-guide-view/porsche-911-turbo-cabriolet/UG9yc2NoZSA5MTEgdHVyYm8gQ2FicmlvbGV0/?price=3899000" TargetMode="External"/><Relationship Id="rId80" Type="http://schemas.openxmlformats.org/officeDocument/2006/relationships/hyperlink" Target="https://www.carmag.co.za/car-price-guide-view/mini-cooper-hatch-5-door/TUlOSSBDb29wZXIgSGF0Y2ggNS1kb29y/?price=546220" TargetMode="External"/><Relationship Id="rId155" Type="http://schemas.openxmlformats.org/officeDocument/2006/relationships/hyperlink" Target="https://www.carmag.co.za/car-price-guide-view/lexus-is-300h-ex/TGV4dXMgSVMgMzAwaCBFWA==/?price=942700" TargetMode="External"/><Relationship Id="rId176" Type="http://schemas.openxmlformats.org/officeDocument/2006/relationships/hyperlink" Target="https://www.carmag.co.za/car-price-guide-view/audi-a6-40tdi/QXVkaSBBNiA0MFRESQ==/?price=1041000" TargetMode="External"/><Relationship Id="rId197" Type="http://schemas.openxmlformats.org/officeDocument/2006/relationships/hyperlink" Target="https://www.carmag.co.za/car-price-guide-view/mercedes-benz-c300-cabriolet-amg-line/TWVyY2VkZXMtQmVueiBDMzAwIENhYnJpb2xldCBBTUcgTGluZQ==/?price=1182231" TargetMode="External"/><Relationship Id="rId341" Type="http://schemas.openxmlformats.org/officeDocument/2006/relationships/hyperlink" Target="https://www.carmag.co.za/car-price-guide-view/bentley-continental-gtc-azure/QmVudGxleSBDb250aW5lbnRhbCBHVEMgQXp1cmU=/?price=6080000" TargetMode="External"/><Relationship Id="rId201" Type="http://schemas.openxmlformats.org/officeDocument/2006/relationships/hyperlink" Target="https://www.carmag.co.za/car-price-guide-view/volvo-s90-b6-awd-plus-bright/Vm9sdm8gUzkwIEI2IEFXRCBQbHVzIEJyaWdodA==/?price=1190800" TargetMode="External"/><Relationship Id="rId222" Type="http://schemas.openxmlformats.org/officeDocument/2006/relationships/hyperlink" Target="https://www.carmag.co.za/car-price-guide-view/bmw-m440i-xdrive-convertible/Qk1XIE00NDBpIHhEcml2ZSBDb252ZXJ0aWJsZQ==/?price=1439117" TargetMode="External"/><Relationship Id="rId243" Type="http://schemas.openxmlformats.org/officeDocument/2006/relationships/hyperlink" Target="https://www.carmag.co.za/car-price-guide-view/porsche-911-carrera-coupe/UG9yc2NoZSA5MTEgQ2FycmVyYSBDb3Vww6k=/?price=1849000" TargetMode="External"/><Relationship Id="rId264" Type="http://schemas.openxmlformats.org/officeDocument/2006/relationships/hyperlink" Target="https://www.carmag.co.za/car-price-guide-view/bmw-740i-m-sport/Qk1XIDc0MGkgTSBTcG9ydA==/?price=2247751" TargetMode="External"/><Relationship Id="rId285" Type="http://schemas.openxmlformats.org/officeDocument/2006/relationships/hyperlink" Target="https://www.carmag.co.za/car-price-guide-view/porsche-taycan-4s/UG9yc2NoZSBUYXljYW4gNFM=/?price=2519000" TargetMode="External"/><Relationship Id="rId17" Type="http://schemas.openxmlformats.org/officeDocument/2006/relationships/hyperlink" Target="https://www.carmag.co.za/car-price-guide-view/fiat-500-twinair-cult/RmlhdCA1MDAgVHdpbkFpciBDdWx0/?price=249900" TargetMode="External"/><Relationship Id="rId38" Type="http://schemas.openxmlformats.org/officeDocument/2006/relationships/hyperlink" Target="https://www.carmag.co.za/car-price-guide-view/mazda-mazda2-1-5-dynamic/TWF6ZGEgTWF6ZGEyIDEuNSBEeW5hbWlj/?price=349100" TargetMode="External"/><Relationship Id="rId59" Type="http://schemas.openxmlformats.org/officeDocument/2006/relationships/hyperlink" Target="https://www.carmag.co.za/car-price-guide-view/volkswagen-polo-hatch-1-0tsi-85kw-r-line/Vm9sa3N3YWdlbiBQb2xvIGhhdGNoIDEuMFRTSSA4NWtXIFItTGluZQ==/?price=445500" TargetMode="External"/><Relationship Id="rId103" Type="http://schemas.openxmlformats.org/officeDocument/2006/relationships/hyperlink" Target="https://www.carmag.co.za/car-price-guide-view/volkswagen-golf-gti-jacara-edition/Vm9sa3N3YWdlbiBHb2xmIEdUSSBKYWNhcmEgRWRpdGlvbg==/?price=727500" TargetMode="External"/><Relationship Id="rId124" Type="http://schemas.openxmlformats.org/officeDocument/2006/relationships/hyperlink" Target="https://www.carmag.co.za/car-price-guide-view/mercedes-benz-a200-sedan-amg-line/TWVyY2VkZXMtQmVueiBBMjAwIFNlZGFuIEFNRyBMaW5l/?price=813554" TargetMode="External"/><Relationship Id="rId310" Type="http://schemas.openxmlformats.org/officeDocument/2006/relationships/hyperlink" Target="https://www.carmag.co.za/car-price-guide-view/porsche-panamera-turbo-s/UG9yc2NoZSBQYW5hbWVyYSB0dXJibyBT/?price=3388000" TargetMode="External"/><Relationship Id="rId70" Type="http://schemas.openxmlformats.org/officeDocument/2006/relationships/hyperlink" Target="https://www.carmag.co.za/car-price-guide-view/mazda-mazda3-hatch-1-5-individual/TWF6ZGEgTWF6ZGEzIEhhdGNoIDEuNSBJbmRpdmlkdWFs/?price=508800" TargetMode="External"/><Relationship Id="rId91" Type="http://schemas.openxmlformats.org/officeDocument/2006/relationships/hyperlink" Target="https://www.carmag.co.za/car-price-guide-view/mini-cooper-convertible/TUlOSSBDb29wZXIgQ29udmVydGlibGU=/?price=641661" TargetMode="External"/><Relationship Id="rId145" Type="http://schemas.openxmlformats.org/officeDocument/2006/relationships/hyperlink" Target="https://www.carmag.co.za/car-price-guide-view/mercedes-benz-cla220d-progressive/TWVyY2VkZXMtQmVueiBDTEEyMjBkIFByb2dyZXNzaXZl/?price=899749" TargetMode="External"/><Relationship Id="rId166" Type="http://schemas.openxmlformats.org/officeDocument/2006/relationships/hyperlink" Target="https://www.carmag.co.za/car-price-guide-view/bmw-420d-gran-coupe-m-sport/Qk1XIDQyMGQgR3JhbiBDb3Vww6kgTSBTcG9ydA==/?price=1000313" TargetMode="External"/><Relationship Id="rId187" Type="http://schemas.openxmlformats.org/officeDocument/2006/relationships/hyperlink" Target="https://www.carmag.co.za/car-price-guide-view/audi-a6-40tdi-sports-s-line/QXVkaSBBNiA0MFRESSBzcG9ydHMgUyBsaW5l/?price=1090700" TargetMode="External"/><Relationship Id="rId331" Type="http://schemas.openxmlformats.org/officeDocument/2006/relationships/hyperlink" Target="https://www.carmag.co.za/car-price-guide-view/bentley-continental-gtc-v8/QmVudGxleSBDb250aW5lbnRhbCBHVEMgVjg=/?price=5060000" TargetMode="External"/><Relationship Id="rId352" Type="http://schemas.openxmlformats.org/officeDocument/2006/relationships/hyperlink" Target="https://www.carmag.co.za/car-price-guide-view/ferrari-296-gts/RmVycmFyaSAyOTYgR1RT/?price=7494800" TargetMode="External"/><Relationship Id="rId1" Type="http://schemas.openxmlformats.org/officeDocument/2006/relationships/hyperlink" Target="https://www.carmag.co.za/car-price-guide-view/suzuki-s-presso-1-0-gl/U3V6dWtpIFMtUHJlc3NvIDEuMCBHTA==/?price=176900" TargetMode="External"/><Relationship Id="rId212" Type="http://schemas.openxmlformats.org/officeDocument/2006/relationships/hyperlink" Target="https://www.carmag.co.za/car-price-guide-view/audi-tt-rs-roadster-quattro/QXVkaSBUVCBSUyBSb2Fkc3RlciBxdWF0dHJv/?price=1267100" TargetMode="External"/><Relationship Id="rId233" Type="http://schemas.openxmlformats.org/officeDocument/2006/relationships/hyperlink" Target="https://www.carmag.co.za/car-price-guide-view/lexus-rc-f/TGV4dXMgUkMgRg==/?price=1615000" TargetMode="External"/><Relationship Id="rId254" Type="http://schemas.openxmlformats.org/officeDocument/2006/relationships/hyperlink" Target="https://www.carmag.co.za/car-price-guide-view/mercedes-amg-c63-s-coupe/TWVyY2VkZXMtQU1HIEM2MyBTIENvdXDDqQ==/?price=2098389" TargetMode="External"/><Relationship Id="rId28" Type="http://schemas.openxmlformats.org/officeDocument/2006/relationships/hyperlink" Target="https://www.carmag.co.za/car-price-guide-view/suzuki-baleno-1-5-glx/U3V6dWtpIEJhbGVubyAxLjUgR0xY/?price=301900" TargetMode="External"/><Relationship Id="rId49" Type="http://schemas.openxmlformats.org/officeDocument/2006/relationships/hyperlink" Target="https://www.carmag.co.za/car-price-guide-view/hyundai-i20-1-0t-fluid/SHl1bmRhaSBpMjAgMS4wVCBGbHVpZA==/?price=394900" TargetMode="External"/><Relationship Id="rId114" Type="http://schemas.openxmlformats.org/officeDocument/2006/relationships/hyperlink" Target="https://www.carmag.co.za/car-price-guide-view/mercedes-benz-a200-hatch-amg-line/TWVyY2VkZXMtQmVueiBBMjAwIEhhdGNoIEFNRyBMaW5l/?price=758554" TargetMode="External"/><Relationship Id="rId275" Type="http://schemas.openxmlformats.org/officeDocument/2006/relationships/hyperlink" Target="https://www.carmag.co.za/car-price-guide-view/porsche-911-carrera-s-cabriolet/UG9yc2NoZSA5MTEgQ2FycmVyYSBTIENhYnJpb2xldA==/?price=2389000" TargetMode="External"/><Relationship Id="rId296" Type="http://schemas.openxmlformats.org/officeDocument/2006/relationships/hyperlink" Target="https://www.carmag.co.za/car-price-guide-view/jaguar-f-type-r75-coupe/SmFndWFyIEYtVHlwZSBSNzUgQ291cMOp/?price=2759000" TargetMode="External"/><Relationship Id="rId300" Type="http://schemas.openxmlformats.org/officeDocument/2006/relationships/hyperlink" Target="https://www.carmag.co.za/car-price-guide-view/bmw-i7-xdrive60/Qk1XIGk3IHhEcml2ZTYw/?price=2825000" TargetMode="External"/><Relationship Id="rId60" Type="http://schemas.openxmlformats.org/officeDocument/2006/relationships/hyperlink" Target="https://www.carmag.co.za/car-price-guide-view/fiat-tipo-hatch-1-6-city-life/RmlhdCBUaXBvIEhhdGNoIDEuNiBDaXR5IExpZmU=/?price=451900" TargetMode="External"/><Relationship Id="rId81" Type="http://schemas.openxmlformats.org/officeDocument/2006/relationships/hyperlink" Target="https://www.carmag.co.za/car-price-guide-view/audi-a1-sportback-35tfsi-s-line/QXVkaSBBMSBTcG9ydGJhY2sgMzVURlNJIFMgbGluZQ==/?price=550400" TargetMode="External"/><Relationship Id="rId135" Type="http://schemas.openxmlformats.org/officeDocument/2006/relationships/hyperlink" Target="https://www.carmag.co.za/car-price-guide-view/subaru-wrx-2-4t-ts-es/U3ViYXJ1IFdSWCAyLjRUIHRTIEVT/?price=877000" TargetMode="External"/><Relationship Id="rId156" Type="http://schemas.openxmlformats.org/officeDocument/2006/relationships/hyperlink" Target="https://www.carmag.co.za/car-price-guide-view/audi-a5-sportback-40tdi-quattro-s-line/QXVkaSBBNSBTcG9ydGJhY2sgNDBUREkgcXVhdHRybyBTIGxpbmU=/?price=943300" TargetMode="External"/><Relationship Id="rId177" Type="http://schemas.openxmlformats.org/officeDocument/2006/relationships/hyperlink" Target="https://www.carmag.co.za/car-price-guide-view/bmw-420i-convertible-m-sport/Qk1XIDQyMGkgY29udmVydGlibGUgTSBTcG9ydA==/?price=1044553" TargetMode="External"/><Relationship Id="rId198" Type="http://schemas.openxmlformats.org/officeDocument/2006/relationships/hyperlink" Target="https://www.carmag.co.za/car-price-guide-view/audi-s5-tfsi-sportback-quattro/QXVkaSBTNSBURlNJIFNwb3J0YmFjayBxdWF0dHJv/?price=1184400" TargetMode="External"/><Relationship Id="rId321" Type="http://schemas.openxmlformats.org/officeDocument/2006/relationships/hyperlink" Target="https://www.carmag.co.za/car-price-guide-view/porsche-taycan-turbo-s/UG9yc2NoZSBUYXljYW4gdHVyYm8gUw==/?price=3909000" TargetMode="External"/><Relationship Id="rId342" Type="http://schemas.openxmlformats.org/officeDocument/2006/relationships/hyperlink" Target="https://www.carmag.co.za/car-price-guide-view/bentley-continental-gt-v8-mulliner/QmVudGxleSBDb250aW5lbnRhbCBHVCBWOCBNdWxsaW5lcg==/?price=6180000" TargetMode="External"/><Relationship Id="rId202" Type="http://schemas.openxmlformats.org/officeDocument/2006/relationships/hyperlink" Target="https://www.carmag.co.za/car-price-guide-view/ford-mustang-5-0-gt-convertible/Rm9yZCBNdXN0YW5nIDUuMCBHVCBDb252ZXJ0aWJsZQ==/?price=1194000" TargetMode="External"/><Relationship Id="rId223" Type="http://schemas.openxmlformats.org/officeDocument/2006/relationships/hyperlink" Target="https://www.carmag.co.za/car-price-guide-view/mercedes-amg-cla45-s-4matic/TWVyY2VkZXMtQU1HIENMQTQ1IFMgNE1hdGljKw==/?price=1466237" TargetMode="External"/><Relationship Id="rId244" Type="http://schemas.openxmlformats.org/officeDocument/2006/relationships/hyperlink" Target="https://www.carmag.co.za/car-price-guide-view/porsche-718-cayman-gt4/UG9yc2NoZSA3MTggQ2F5bWFuIEdUNA==/?price=1919000" TargetMode="External"/><Relationship Id="rId18" Type="http://schemas.openxmlformats.org/officeDocument/2006/relationships/hyperlink" Target="https://www.carmag.co.za/car-price-guide-view/suzuki-baleno-1-5-gl/U3V6dWtpIEJhbGVubyAxLjUgR0w=/?price=251900" TargetMode="External"/><Relationship Id="rId39" Type="http://schemas.openxmlformats.org/officeDocument/2006/relationships/hyperlink" Target="https://www.carmag.co.za/car-price-guide-view/kia-rio-1-4-ex/S2lhIFJpbyAxLjQgRVg=/?price=358995" TargetMode="External"/><Relationship Id="rId265" Type="http://schemas.openxmlformats.org/officeDocument/2006/relationships/hyperlink" Target="https://www.carmag.co.za/car-price-guide-view/maserati-ghibli-gt/TWFzZXJhdGkgR2hpYmxpIEdU/?price=2250000" TargetMode="External"/><Relationship Id="rId286" Type="http://schemas.openxmlformats.org/officeDocument/2006/relationships/hyperlink" Target="https://www.carmag.co.za/car-price-guide-view/lexus-ls-500h/TGV4dXMgTFMgNTAwaA==/?price=2525100" TargetMode="External"/><Relationship Id="rId50" Type="http://schemas.openxmlformats.org/officeDocument/2006/relationships/hyperlink" Target="https://www.carmag.co.za/car-price-guide-view/volkswagen-polo-hatch-1-0tsi-85kw-life/Vm9sa3N3YWdlbiBQb2xvIEhhdGNoIDEuMFRTSSA4NWtXIExpZmU=/?price=397500" TargetMode="External"/><Relationship Id="rId104" Type="http://schemas.openxmlformats.org/officeDocument/2006/relationships/hyperlink" Target="https://www.carmag.co.za/car-price-guide-view/mercedes-benz-a200-hatch-progressive/TWVyY2VkZXMtQmVueiBBMjAwIEhhdGNoIFByb2dyZXNzaXZl/?price=729554" TargetMode="External"/><Relationship Id="rId125" Type="http://schemas.openxmlformats.org/officeDocument/2006/relationships/hyperlink" Target="https://www.carmag.co.za/car-price-guide-view/bmw-318i-m-sport/Qk1XIDMxOGkgTSBTcG9ydA==/?price=817894" TargetMode="External"/><Relationship Id="rId146" Type="http://schemas.openxmlformats.org/officeDocument/2006/relationships/hyperlink" Target="https://www.carmag.co.za/car-price-guide-view/bmw-420d-coupe/Qk1XIDQyMGQgQ291cMOp/?price=899858" TargetMode="External"/><Relationship Id="rId167" Type="http://schemas.openxmlformats.org/officeDocument/2006/relationships/hyperlink" Target="https://www.carmag.co.za/car-price-guide-view/volvo-s90-b5-plus-bright/Vm9sdm8gUzkwIEI1IFBsdXMgQnJpZ2h0/?price=1002500" TargetMode="External"/><Relationship Id="rId188" Type="http://schemas.openxmlformats.org/officeDocument/2006/relationships/hyperlink" Target="https://www.carmag.co.za/car-price-guide-view/mercedes-amg-a35-hatch-4matic/TWVyY2VkZXMtQU1HIEEzNSBIYXRjaCA0TWF0aWM=/?price=1112448" TargetMode="External"/><Relationship Id="rId311" Type="http://schemas.openxmlformats.org/officeDocument/2006/relationships/hyperlink" Target="https://www.carmag.co.za/car-price-guide-view/mercedes-amg-eqs-53-4matic-sedan/TWVyY2VkZXMtQU1HIEVRUyA1MyA0TWF0aWMrIFNlZGFu/?price=3415250" TargetMode="External"/><Relationship Id="rId332" Type="http://schemas.openxmlformats.org/officeDocument/2006/relationships/hyperlink" Target="https://www.carmag.co.za/car-price-guide-view/bentley-flying-spur-v8-s/QmVudGxleSBGbHlpbmcgU3B1ciBWOCBT/?price=5100000" TargetMode="External"/><Relationship Id="rId353" Type="http://schemas.openxmlformats.org/officeDocument/2006/relationships/hyperlink" Target="https://www.carmag.co.za/car-price-guide-view/lamborghini-huracan-sto/TGFtYm9yZ2hpbmkgSHVyYWPDoW4gU1RP/?price=8275000" TargetMode="External"/><Relationship Id="rId71" Type="http://schemas.openxmlformats.org/officeDocument/2006/relationships/hyperlink" Target="https://www.carmag.co.za/car-price-guide-view/honda-fit-hybrid/SG9uZGEgRml0IEh5YnJpZA==/?price=509600" TargetMode="External"/><Relationship Id="rId92" Type="http://schemas.openxmlformats.org/officeDocument/2006/relationships/hyperlink" Target="https://www.carmag.co.za/car-price-guide-view/audi-a3-sportback-35tfsi-s-line/QXVkaSBBMyBTcG9ydGJhY2sgMzVURlNJIFMgbGluZQ==/?price=662800" TargetMode="External"/><Relationship Id="rId213" Type="http://schemas.openxmlformats.org/officeDocument/2006/relationships/hyperlink" Target="https://www.carmag.co.za/car-price-guide-view/audi-s5-tfsi-cabriolet-quattro/QXVkaSBTNSBURlNJIENhYnJpb2xldCBxdWF0dHJv/?price=1269400" TargetMode="External"/><Relationship Id="rId234" Type="http://schemas.openxmlformats.org/officeDocument/2006/relationships/hyperlink" Target="https://www.carmag.co.za/car-price-guide-view/bmw-i4-m50/Qk1XIGk0IE01MA==/?price=1637900" TargetMode="External"/><Relationship Id="rId2" Type="http://schemas.openxmlformats.org/officeDocument/2006/relationships/hyperlink" Target="https://www.carmag.co.za/car-price-guide-view/suzuki-s-presso-1-0-gl/U3V6dWtpIFMtUHJlc3NvIDEuMCBHTCs=/?price=183900" TargetMode="External"/><Relationship Id="rId29" Type="http://schemas.openxmlformats.org/officeDocument/2006/relationships/hyperlink" Target="https://www.carmag.co.za/car-price-guide-view/nissan-almera-1-5-acenta/Tmlzc2FuIEFsbWVyYSAxLjUgQWNlbnRh/?price=310000" TargetMode="External"/><Relationship Id="rId255" Type="http://schemas.openxmlformats.org/officeDocument/2006/relationships/hyperlink" Target="https://www.carmag.co.za/car-price-guide-view/porsche-panamera-4-e-hybrid/UG9yc2NoZSBQYW5hbWVyYSA0IGUtaHlicmlk/?price=2119000" TargetMode="External"/><Relationship Id="rId276" Type="http://schemas.openxmlformats.org/officeDocument/2006/relationships/hyperlink" Target="https://www.carmag.co.za/car-price-guide-view/lexus-ls-500-f-sport/TGV4dXMgTFMgNTAwIEYgU3BvcnQ=/?price=2397600" TargetMode="External"/><Relationship Id="rId297" Type="http://schemas.openxmlformats.org/officeDocument/2006/relationships/hyperlink" Target="https://www.carmag.co.za/car-price-guide-view/mercedes-benz-eqs-450-sedan-amg-line/TWVyY2VkZXMtQmVueiBFUVMgNDUwKyBTZWRhbiBBTUcgTGluZQ==/?price=2760500" TargetMode="External"/><Relationship Id="rId40" Type="http://schemas.openxmlformats.org/officeDocument/2006/relationships/hyperlink" Target="https://www.carmag.co.za/car-price-guide-view/fiat-500-500c-twinair-dolcevita/RmlhdCA1MDAgNTAwQyBUd2luQWlyIERvbGNldml0YQ==/?price=359900" TargetMode="External"/><Relationship Id="rId115" Type="http://schemas.openxmlformats.org/officeDocument/2006/relationships/hyperlink" Target="https://www.carmag.co.za/car-price-guide-view/bmw-128ti/Qk1XIDEyOHRp/?price=764260" TargetMode="External"/><Relationship Id="rId136" Type="http://schemas.openxmlformats.org/officeDocument/2006/relationships/hyperlink" Target="https://www.carmag.co.za/car-price-guide-view/audi-a5-coupe-40tfsi-s-line/QXVkaSBBNSBDb3Vww6kgNDBURlNJIFMgbGluZQ==/?price=879300" TargetMode="External"/><Relationship Id="rId157" Type="http://schemas.openxmlformats.org/officeDocument/2006/relationships/hyperlink" Target="https://www.carmag.co.za/car-price-guide-view/bmw-420d-coupe-m-sport/Qk1XIDQyMGQgQ291cMOpIE0gU3BvcnQ=/?price=951958" TargetMode="External"/><Relationship Id="rId178" Type="http://schemas.openxmlformats.org/officeDocument/2006/relationships/hyperlink" Target="https://www.carmag.co.za/car-price-guide-view/mercedes-benz-c300-coupe-amg-line/TWVyY2VkZXMtQmVueiBDMzAwIENvdXDDqSBBTUcgTGluZQ==/?price=1048213" TargetMode="External"/><Relationship Id="rId301" Type="http://schemas.openxmlformats.org/officeDocument/2006/relationships/hyperlink" Target="https://www.carmag.co.za/car-price-guide-view/maserati-quattroporte-gt/TWFzZXJhdGkgUXVhdHRyb3BvcnRlIEdU/?price=2850000" TargetMode="External"/><Relationship Id="rId322" Type="http://schemas.openxmlformats.org/officeDocument/2006/relationships/hyperlink" Target="https://www.carmag.co.za/car-price-guide-view/porsche-911-dakar/UG9yc2NoZSA5MTEgRGFrYXI=/?price=4140000" TargetMode="External"/><Relationship Id="rId343" Type="http://schemas.openxmlformats.org/officeDocument/2006/relationships/hyperlink" Target="https://www.carmag.co.za/car-price-guide-view/bentley-continental-gtc-speed/QmVudGxleSBDb250aW5lbnRhbCBHVEMgU3BlZWQ=/?price=6270000" TargetMode="External"/><Relationship Id="rId61" Type="http://schemas.openxmlformats.org/officeDocument/2006/relationships/hyperlink" Target="https://www.carmag.co.za/car-price-guide-view/mazda-mazda3-hatch-1-5-dynamic/TWF6ZGEgTWF6ZGEzIEhhdGNoIDEuNSBEeW5hbWlj/?price=453300" TargetMode="External"/><Relationship Id="rId82" Type="http://schemas.openxmlformats.org/officeDocument/2006/relationships/hyperlink" Target="https://www.carmag.co.za/car-price-guide-view/mazda-mazda3-hatch-2-0-astina/TWF6ZGEgTWF6ZGEzIEhhdGNoIDIuMCBBc3RpbmE=/?price=554500" TargetMode="External"/><Relationship Id="rId199" Type="http://schemas.openxmlformats.org/officeDocument/2006/relationships/hyperlink" Target="https://www.carmag.co.za/car-price-guide-view/volvo-s90-b6-awd-plus-dark/Vm9sdm8gUzkwIEI2IEFXRCBQbHVzIERhcms=/?price=1186900" TargetMode="External"/><Relationship Id="rId203" Type="http://schemas.openxmlformats.org/officeDocument/2006/relationships/hyperlink" Target="https://www.carmag.co.za/car-price-guide-view/audi-tt-rs-coupe-quattro/QXVkaSBUVCBSUyBDb3Vww6kgcXVhdHRybw==/?price=1211200" TargetMode="External"/><Relationship Id="rId19" Type="http://schemas.openxmlformats.org/officeDocument/2006/relationships/hyperlink" Target="https://www.carmag.co.za/car-price-guide-view/kia-picanto-1-2-style/S2lhIFBpY2FudG8gMS4yIFN0eWxl/?price=256995" TargetMode="External"/><Relationship Id="rId224" Type="http://schemas.openxmlformats.org/officeDocument/2006/relationships/hyperlink" Target="https://www.carmag.co.za/car-price-guide-view/audi-a7-sportback-55tfsi-quattro/QXVkaSBBNyBTcG9ydGJhY2sgNTVURlNJIHF1YXR0cm8=/?price=1469700" TargetMode="External"/><Relationship Id="rId245" Type="http://schemas.openxmlformats.org/officeDocument/2006/relationships/hyperlink" Target="https://www.carmag.co.za/car-price-guide-view/jaguar-f-type-75-coupe/SmFndWFyIEYtVHlwZSA3NSBDb3Vww6k=/?price=1931000" TargetMode="External"/><Relationship Id="rId266" Type="http://schemas.openxmlformats.org/officeDocument/2006/relationships/hyperlink" Target="https://www.carmag.co.za/car-price-guide-view/bmw-m850i-xdrive-gran-coupe/Qk1XIE04NTBpIHhEcml2ZSBHcmFuIENvdXDDqQ==/?price=2252922" TargetMode="External"/><Relationship Id="rId287" Type="http://schemas.openxmlformats.org/officeDocument/2006/relationships/hyperlink" Target="https://www.carmag.co.za/car-price-guide-view/porsche-911-carrera-4-gts-coupe/UG9yc2NoZSA5MTEgQ2FycmVyYSA0IEdUUyBDb3Vww6k=/?price=2579000" TargetMode="External"/><Relationship Id="rId30" Type="http://schemas.openxmlformats.org/officeDocument/2006/relationships/hyperlink" Target="https://www.carmag.co.za/car-price-guide-view/suzuki-ciaz-1-5-glx/U3V6dWtpIENpYXogMS41IEdMWA==/?price=311900" TargetMode="External"/><Relationship Id="rId105" Type="http://schemas.openxmlformats.org/officeDocument/2006/relationships/hyperlink" Target="https://www.carmag.co.za/car-price-guide-view/bmw-218d-gran-coupe/Qk1XIDIxOGQgR3JhbiBDb3Vww6k=/?price=729858" TargetMode="External"/><Relationship Id="rId126" Type="http://schemas.openxmlformats.org/officeDocument/2006/relationships/hyperlink" Target="https://www.carmag.co.za/car-price-guide-view/audi-a4-35tdi-s-line/QXVkaSBBNCAzNVRESSBTIGxpbmU=/?price=829500" TargetMode="External"/><Relationship Id="rId147" Type="http://schemas.openxmlformats.org/officeDocument/2006/relationships/hyperlink" Target="https://www.carmag.co.za/car-price-guide-view/renault-megane-rs-300-trophy/UmVuYXVsdCBNw6lnYW5lIFJTIDMwMCBUcm9waHk=/?price=899999" TargetMode="External"/><Relationship Id="rId168" Type="http://schemas.openxmlformats.org/officeDocument/2006/relationships/hyperlink" Target="https://www.carmag.co.za/car-price-guide-view/mercedes-amg-a35-sedan-4matic/TWVyY2VkZXMtQU1HIEEzNSBTZWRhbiA0TWF0aWM=/?price=1006041" TargetMode="External"/><Relationship Id="rId312" Type="http://schemas.openxmlformats.org/officeDocument/2006/relationships/hyperlink" Target="https://www.carmag.co.za/car-price-guide-view/bmw-m8-competition-coupe/Qk1XIE04IGNvbXBldGl0aW9uIENvdXDDqQ==/?price=3421859" TargetMode="External"/><Relationship Id="rId333" Type="http://schemas.openxmlformats.org/officeDocument/2006/relationships/hyperlink" Target="https://www.carmag.co.za/car-price-guide-view/bentley-continental-gt-s/QmVudGxleSBDb250aW5lbnRhbCBHVCBT/?price=5150000" TargetMode="External"/><Relationship Id="rId51" Type="http://schemas.openxmlformats.org/officeDocument/2006/relationships/hyperlink" Target="https://www.carmag.co.za/car-price-guide-view/mazda-mazda2-1-5-hazumi/TWF6ZGEgTWF6ZGEyIDEuNSBIYXp1bWk=/?price=407400" TargetMode="External"/><Relationship Id="rId72" Type="http://schemas.openxmlformats.org/officeDocument/2006/relationships/hyperlink" Target="https://www.carmag.co.za/car-price-guide-view/toyota-corolla-1-8-hybrid-xs/VG95b3RhIENvcm9sbGEgMS44IEh5YnJpZCBYUw==/?price=512700" TargetMode="External"/><Relationship Id="rId93" Type="http://schemas.openxmlformats.org/officeDocument/2006/relationships/hyperlink" Target="https://www.carmag.co.za/car-price-guide-view/bmw-118i-m-sport/Qk1XIDExOGkgTSBTcG9ydA==/?price=676772" TargetMode="External"/><Relationship Id="rId189" Type="http://schemas.openxmlformats.org/officeDocument/2006/relationships/hyperlink" Target="https://www.carmag.co.za/car-price-guide-view/ford-mustang-5-0-gt-fastback/Rm9yZCBNdXN0YW5nIDUuMCBHVCBGYXN0YmFjaw==/?price=1117500" TargetMode="External"/><Relationship Id="rId3" Type="http://schemas.openxmlformats.org/officeDocument/2006/relationships/hyperlink" Target="https://www.carmag.co.za/car-price-guide-view/suzuki-s-presso-1-0-s-edition/U3V6dWtpIFMtUHJlc3NvIDEuMCBTLUVkaXRpb24=/?price=199900" TargetMode="External"/><Relationship Id="rId214" Type="http://schemas.openxmlformats.org/officeDocument/2006/relationships/hyperlink" Target="https://www.carmag.co.za/car-price-guide-view/bmw-z4-m40i/Qk1XIFo0IE00MGk=/?price=1286537" TargetMode="External"/><Relationship Id="rId235" Type="http://schemas.openxmlformats.org/officeDocument/2006/relationships/hyperlink" Target="https://www.carmag.co.za/car-price-guide-view/bmw-m550i-xdrive/Qk1XIE01NTBpIHhEcml2ZQ==/?price=1647922" TargetMode="External"/><Relationship Id="rId256" Type="http://schemas.openxmlformats.org/officeDocument/2006/relationships/hyperlink" Target="https://www.carmag.co.za/car-price-guide-view/bmw-m4-competition-coupe-m-xdrive/Qk1XIE00IGNvbXBldGl0aW9uIENvdXDDqSBNIHhEcml2ZQ==/?price=2120797" TargetMode="External"/><Relationship Id="rId277" Type="http://schemas.openxmlformats.org/officeDocument/2006/relationships/hyperlink" Target="https://www.carmag.co.za/car-price-guide-view/mercedes-benz-s350d-l/TWVyY2VkZXMtQmVueiBTMzUwZCBM/?price=2435939" TargetMode="External"/><Relationship Id="rId298" Type="http://schemas.openxmlformats.org/officeDocument/2006/relationships/hyperlink" Target="https://www.carmag.co.za/car-price-guide-view/porsche-911-targa-4-gts/UG9yc2NoZSA5MTEgdGFyZ2EgNCBHVFM=/?price=2809000" TargetMode="External"/><Relationship Id="rId116" Type="http://schemas.openxmlformats.org/officeDocument/2006/relationships/hyperlink" Target="https://www.carmag.co.za/car-price-guide-view/bmw-218d-gran-coupe-m-sport/Qk1XIDIxOGQgR3JhbiBDb3Vww6kgTSBTcG9ydA==/?price=765558" TargetMode="External"/><Relationship Id="rId137" Type="http://schemas.openxmlformats.org/officeDocument/2006/relationships/hyperlink" Target="https://www.carmag.co.za/car-price-guide-view/bmw-320d/Qk1XIDMyMGQ=/?price=880768" TargetMode="External"/><Relationship Id="rId158" Type="http://schemas.openxmlformats.org/officeDocument/2006/relationships/hyperlink" Target="https://www.carmag.co.za/car-price-guide-view/bmw-420i-gran-coupe-m-sport/Qk1XIDQyMGkgR3JhbiBDb3Vww6kgTSBTcG9ydA==/?price=953197" TargetMode="External"/><Relationship Id="rId302" Type="http://schemas.openxmlformats.org/officeDocument/2006/relationships/hyperlink" Target="https://www.carmag.co.za/car-price-guide-view/bmw-i7-xdrive60-m-sport/Qk1XIGk3IHhEcml2ZTYwIE0gU3BvcnQ=/?price=2900000" TargetMode="External"/><Relationship Id="rId323" Type="http://schemas.openxmlformats.org/officeDocument/2006/relationships/hyperlink" Target="https://www.carmag.co.za/car-price-guide-view/porsche-911-gt3-rs/UG9yc2NoZSA5MTEgR1QzIFJT/?price=4153000" TargetMode="External"/><Relationship Id="rId344" Type="http://schemas.openxmlformats.org/officeDocument/2006/relationships/hyperlink" Target="https://www.carmag.co.za/car-price-guide-view/bentley-flying-spur-v8-mulliner/QmVudGxleSBGbHlpbmcgU3B1ciBWOCBNdWxsaW5lcg==/?price=6460000" TargetMode="External"/><Relationship Id="rId20" Type="http://schemas.openxmlformats.org/officeDocument/2006/relationships/hyperlink" Target="https://www.carmag.co.za/car-price-guide-view/honda-amaze-1-2-comfort/SG9uZGEgQW1hemUgMS4yIENvbWZvcnQ=/?price=266800" TargetMode="External"/><Relationship Id="rId41" Type="http://schemas.openxmlformats.org/officeDocument/2006/relationships/hyperlink" Target="https://www.carmag.co.za/car-price-guide-view/toyota-corolla-quest-1-8-prestige/VG95b3RhIENvcm9sbGEgUXVlc3QgMS44IFByZXN0aWdl/?price=360600" TargetMode="External"/><Relationship Id="rId62" Type="http://schemas.openxmlformats.org/officeDocument/2006/relationships/hyperlink" Target="https://www.carmag.co.za/car-price-guide-view/mini-one-hatch-3-door/TUlOSSBPbmUgSGF0Y2ggMy1kb29y/?price=453707" TargetMode="External"/><Relationship Id="rId83" Type="http://schemas.openxmlformats.org/officeDocument/2006/relationships/hyperlink" Target="https://www.carmag.co.za/car-price-guide-view/audi-a1-sportback-40tfsi-s-line/QXVkaSBBMSBTcG9ydGJhY2sgNDBURlNJIFMgbGluZQ==/?price=576200" TargetMode="External"/><Relationship Id="rId179" Type="http://schemas.openxmlformats.org/officeDocument/2006/relationships/hyperlink" Target="https://www.carmag.co.za/car-price-guide-view/mercedes-benz-e200-amg-line/TWVyY2VkZXMtQmVueiBFMjAwIEFNRyBMaW5l/?price=1059589" TargetMode="External"/><Relationship Id="rId190" Type="http://schemas.openxmlformats.org/officeDocument/2006/relationships/hyperlink" Target="https://www.carmag.co.za/car-price-guide-view/mercedes-benz-e220d-amg-line/TWVyY2VkZXMtQmVueiBFMjIwZCBBTUcgTGluZQ==/?price=1133226" TargetMode="External"/><Relationship Id="rId204" Type="http://schemas.openxmlformats.org/officeDocument/2006/relationships/hyperlink" Target="https://www.carmag.co.za/car-price-guide-view/audi-rs3-sportback-quattro/QXVkaSBSUzMgU3BvcnRiYWNrIHF1YXR0cm8=/?price=1215000" TargetMode="External"/><Relationship Id="rId225" Type="http://schemas.openxmlformats.org/officeDocument/2006/relationships/hyperlink" Target="https://www.carmag.co.za/car-price-guide-view/mercedes-amg-c43-cabriolet-4matic/TWVyY2VkZXMtQU1HIEM0MyBDYWJyaW9sZXQgNE1hdGlj/?price=1489495" TargetMode="External"/><Relationship Id="rId246" Type="http://schemas.openxmlformats.org/officeDocument/2006/relationships/hyperlink" Target="https://www.carmag.co.za/car-price-guide-view/mercedes-amg-e53-cabriolet-4matic/TWVyY2VkZXMtQU1HIEU1MyBDYWJyaW9sZXQgNE1hdGljKw==/?price=1931407" TargetMode="External"/><Relationship Id="rId267" Type="http://schemas.openxmlformats.org/officeDocument/2006/relationships/hyperlink" Target="https://www.carmag.co.za/car-price-guide-view/porsche-911-carrera-4s-coupe/UG9yc2NoZSA5MTEgQ2FycmVyYSA0UyBDb3Vww6k=/?price=2289000" TargetMode="External"/><Relationship Id="rId288" Type="http://schemas.openxmlformats.org/officeDocument/2006/relationships/hyperlink" Target="https://www.carmag.co.za/car-price-guide-view/lexus-rc-f-track-edition/TGV4dXMgUkMgRiBUcmFjayBFZGl0aW9u/?price=2579100" TargetMode="External"/><Relationship Id="rId106" Type="http://schemas.openxmlformats.org/officeDocument/2006/relationships/hyperlink" Target="https://www.carmag.co.za/car-price-guide-view/mini-cooper-s-convertible/TUlOSSBDb29wZXIgUyBDb252ZXJ0aWJsZQ==/?price=739010" TargetMode="External"/><Relationship Id="rId127" Type="http://schemas.openxmlformats.org/officeDocument/2006/relationships/hyperlink" Target="https://www.carmag.co.za/car-price-guide-view/lexus-es-300h-ex/TGV4dXMgRVMgMzAwaCBFWA==/?price=829900" TargetMode="External"/><Relationship Id="rId313" Type="http://schemas.openxmlformats.org/officeDocument/2006/relationships/hyperlink" Target="https://www.carmag.co.za/car-price-guide-view/maserati-quattroporte-modena/TWFzZXJhdGkgUXVhdHRyb3BvcnRlIE1vZGVuYQ==/?price=3450000" TargetMode="External"/><Relationship Id="rId10" Type="http://schemas.openxmlformats.org/officeDocument/2006/relationships/hyperlink" Target="https://www.carmag.co.za/car-price-guide-view/suzuki-dzire-1-2-gl/U3V6dWtpIERaaXJlIDEuMiBHTA==/?price=226900" TargetMode="External"/><Relationship Id="rId31" Type="http://schemas.openxmlformats.org/officeDocument/2006/relationships/hyperlink" Target="https://www.carmag.co.za/car-price-guide-view/toyota-starlet-1-5-xr/VG95b3RhIFN0YXJsZXQgMS41IFhS/?price=313300" TargetMode="External"/><Relationship Id="rId52" Type="http://schemas.openxmlformats.org/officeDocument/2006/relationships/hyperlink" Target="https://www.carmag.co.za/car-price-guide-view/honda-ballade-1-5-elegance/SG9uZGEgQmFsbGFkZSAxLjUgRWxlZ2FuY2U=/?price=407700" TargetMode="External"/><Relationship Id="rId73" Type="http://schemas.openxmlformats.org/officeDocument/2006/relationships/hyperlink" Target="https://www.carmag.co.za/car-price-guide-view/volkswagen-polo-gti/Vm9sa3N3YWdlbiBQb2xvIEdUSQ==/?price=522500" TargetMode="External"/><Relationship Id="rId94" Type="http://schemas.openxmlformats.org/officeDocument/2006/relationships/hyperlink" Target="https://www.carmag.co.za/car-price-guide-view/audi-a3-sedan-35tfsi-s-line/QXVkaSBBMyBTZWRhbiAzNVRGU0kgUyBsaW5l/?price=677800" TargetMode="External"/><Relationship Id="rId148" Type="http://schemas.openxmlformats.org/officeDocument/2006/relationships/hyperlink" Target="https://www.carmag.co.za/car-price-guide-view/bmw-420i-coupe-m-sport/Qk1XIDQyMGkgQ291cMOpIE0gU3BvcnQ=/?price=904842" TargetMode="External"/><Relationship Id="rId169" Type="http://schemas.openxmlformats.org/officeDocument/2006/relationships/hyperlink" Target="https://www.carmag.co.za/car-price-guide-view/lexus-is-300h-se/TGV4dXMgSVMgMzAwaCBTRQ==/?price=1008300" TargetMode="External"/><Relationship Id="rId334" Type="http://schemas.openxmlformats.org/officeDocument/2006/relationships/hyperlink" Target="https://www.carmag.co.za/car-price-guide-view/bentley-flying-spur-hybrid-azure/QmVudGxleSBGbHlpbmcgU3B1ciBIeWJyaWQgQXp1cmU=/?price=5280000" TargetMode="External"/><Relationship Id="rId4" Type="http://schemas.openxmlformats.org/officeDocument/2006/relationships/hyperlink" Target="https://www.carmag.co.za/car-price-guide-view/renault-kwid-1-0-zen/UmVuYXVsdCBLd2lkIDEuMCBaZW4=/?price=200999" TargetMode="External"/><Relationship Id="rId180" Type="http://schemas.openxmlformats.org/officeDocument/2006/relationships/hyperlink" Target="https://www.carmag.co.za/car-price-guide-view/mercedes-benz-c200-cabriolet-amg-line/TWVyY2VkZXMtQmVueiBDMjAwIENhYnJpb2xldCBBTUcgTGluZQ==/?price=1062081" TargetMode="External"/><Relationship Id="rId215" Type="http://schemas.openxmlformats.org/officeDocument/2006/relationships/hyperlink" Target="https://www.carmag.co.za/car-price-guide-view/audi-a6-45tdi-quattro-sports-s-line/QXVkaSBBNiA0NVRESSBxdWF0dHJvIHNwb3J0cyBTIGxpbmU=/?price=1295400" TargetMode="External"/><Relationship Id="rId236" Type="http://schemas.openxmlformats.org/officeDocument/2006/relationships/hyperlink" Target="https://www.carmag.co.za/car-price-guide-view/porsche-panamera/UG9yc2NoZSBQYW5hbWVyYQ==/?price=1669000" TargetMode="External"/><Relationship Id="rId257" Type="http://schemas.openxmlformats.org/officeDocument/2006/relationships/hyperlink" Target="https://www.carmag.co.za/car-price-guide-view/porsche-911-carrera-s-coupe/UG9yc2NoZSA5MTEgQ2FycmVyYSBTIENvdXDDqQ==/?price=2159000" TargetMode="External"/><Relationship Id="rId278" Type="http://schemas.openxmlformats.org/officeDocument/2006/relationships/hyperlink" Target="https://www.carmag.co.za/car-price-guide-view/porsche-911-carrera-gts-coupe/UG9yc2NoZSA5MTEgQ2FycmVyYSBHVFMgQ291cMOp/?price=2449000" TargetMode="External"/><Relationship Id="rId303" Type="http://schemas.openxmlformats.org/officeDocument/2006/relationships/hyperlink" Target="https://www.carmag.co.za/car-price-guide-view/porsche-911-targa-edition-50-years-porsche-design/UG9yc2NoZSA5MTEgdGFyZ2EgRWRpdGlvbiA1MCBZZWFycyBQb3JzY2hlIERlc2lnbg==/?price=3029000" TargetMode="External"/><Relationship Id="rId42" Type="http://schemas.openxmlformats.org/officeDocument/2006/relationships/hyperlink" Target="https://www.carmag.co.za/car-price-guide-view/honda-ballade-1-5-comfort/SG9uZGEgQmFsbGFkZSAxLjUgQ29tZm9ydA==/?price=374000" TargetMode="External"/><Relationship Id="rId84" Type="http://schemas.openxmlformats.org/officeDocument/2006/relationships/hyperlink" Target="https://www.carmag.co.za/car-price-guide-view/mini-cooper-s-hatch-3-door/TUlOSSBDb29wZXIgUyBIYXRjaCAzLWRvb3I=/?price=615162" TargetMode="External"/><Relationship Id="rId138" Type="http://schemas.openxmlformats.org/officeDocument/2006/relationships/hyperlink" Target="https://www.carmag.co.za/car-price-guide-view/bmw-320i-m-sport/Qk1XIDMyMGkgTSBTcG9ydA==/?price=882894" TargetMode="External"/><Relationship Id="rId345" Type="http://schemas.openxmlformats.org/officeDocument/2006/relationships/hyperlink" Target="https://www.carmag.co.za/car-price-guide-view/bentley-flying-spur-hybrid-mulliner/QmVudGxleSBGbHlpbmcgU3B1ciBIeWJyaWQgTXVsbGluZXI=/?price=6560000" TargetMode="External"/><Relationship Id="rId191" Type="http://schemas.openxmlformats.org/officeDocument/2006/relationships/hyperlink" Target="https://www.carmag.co.za/car-price-guide-view/bmw-m240i-xdrive-coupe/Qk1XIE0yNDBpIHhEcml2ZSBDb3Vww6k=/?price=1138662" TargetMode="External"/><Relationship Id="rId205" Type="http://schemas.openxmlformats.org/officeDocument/2006/relationships/hyperlink" Target="https://www.carmag.co.za/car-price-guide-view/volvo-s90-b6-awd-ultimate-dark/Vm9sdm8gUzkwIEI2IEFXRCBVbHRpbWF0ZSBEYXJr/?price=1223900" TargetMode="External"/><Relationship Id="rId247" Type="http://schemas.openxmlformats.org/officeDocument/2006/relationships/hyperlink" Target="https://www.carmag.co.za/car-price-guide-view/porsche-panamera-platinum-edition/UG9yc2NoZSBQYW5hbWVyYSBQbGF0aW51bSBFZGl0aW9u/?price=1961000" TargetMode="External"/><Relationship Id="rId107" Type="http://schemas.openxmlformats.org/officeDocument/2006/relationships/hyperlink" Target="https://www.carmag.co.za/car-price-guide-view/audi-a4-35tfsi/QXVkaSBBNCAzNVRGU0k=/?price=740700" TargetMode="External"/><Relationship Id="rId289" Type="http://schemas.openxmlformats.org/officeDocument/2006/relationships/hyperlink" Target="https://www.carmag.co.za/car-price-guide-view/porsche-718-cayman-gt4-rs/UG9yc2NoZSA3MTggQ2F5bWFuIEdUNCBSUw==/?price=2588000" TargetMode="External"/><Relationship Id="rId11" Type="http://schemas.openxmlformats.org/officeDocument/2006/relationships/hyperlink" Target="https://www.carmag.co.za/car-price-guide-view/suzuki-swift-1-2-gl/U3V6dWtpIFN3aWZ0IDEuMiBHTA==/?price=227900" TargetMode="External"/><Relationship Id="rId53" Type="http://schemas.openxmlformats.org/officeDocument/2006/relationships/hyperlink" Target="https://www.carmag.co.za/car-price-guide-view/suzuki-swift-1-4t-sport/U3V6dWtpIFN3aWZ0IDEuNFQgU3BvcnQ=/?price=415900" TargetMode="External"/><Relationship Id="rId149" Type="http://schemas.openxmlformats.org/officeDocument/2006/relationships/hyperlink" Target="https://www.carmag.co.za/car-price-guide-view/mercedes-benz-c200-coupe-amg-line/TWVyY2VkZXMtQmVueiBDMjAwIENvdXDDqSBBTUcgTGluZQ==/?price=912563" TargetMode="External"/><Relationship Id="rId314" Type="http://schemas.openxmlformats.org/officeDocument/2006/relationships/hyperlink" Target="https://www.carmag.co.za/car-price-guide-view/audi-r8-coupe-v10-performance-quattro/QXVkaSBSOCBDb3Vww6kgVjEwIHBlcmZvcm1hbmNlIHF1YXR0cm8=/?price=3523600" TargetMode="External"/><Relationship Id="rId95" Type="http://schemas.openxmlformats.org/officeDocument/2006/relationships/hyperlink" Target="https://www.carmag.co.za/car-price-guide-view/bmw-118d/Qk1XIDExOGQ=/?price=679250" TargetMode="External"/><Relationship Id="rId160" Type="http://schemas.openxmlformats.org/officeDocument/2006/relationships/hyperlink" Target="https://www.carmag.co.za/car-price-guide-view/bmw-z4-sdrive20i-m-sport/Qk1XIFo0IHNEcml2ZTIwaSBNIFNwb3J0/?price=963645" TargetMode="External"/><Relationship Id="rId216" Type="http://schemas.openxmlformats.org/officeDocument/2006/relationships/hyperlink" Target="https://www.carmag.co.za/car-price-guide-view/toyota-gr-supra-3-0t/VG95b3RhIEdSIFN1cHJhIDMuMFQ=/?price=1300600" TargetMode="External"/><Relationship Id="rId258" Type="http://schemas.openxmlformats.org/officeDocument/2006/relationships/hyperlink" Target="https://www.carmag.co.za/car-price-guide-view/bmw-740i-design-pure-excellence/Qk1XIDc0MGkgRGVzaWduIFB1cmUgRXhjZWxsZW5jZQ==/?price=2172751" TargetMode="External"/><Relationship Id="rId22" Type="http://schemas.openxmlformats.org/officeDocument/2006/relationships/hyperlink" Target="https://www.carmag.co.za/car-price-guide-view/suzuki-ciaz-1-5-gl/U3V6dWtpIENpYXogMS41IEdM/?price=273900" TargetMode="External"/><Relationship Id="rId64" Type="http://schemas.openxmlformats.org/officeDocument/2006/relationships/hyperlink" Target="https://www.carmag.co.za/car-price-guide-view/mini-one-hatch-5-door/TUlOSSBPbmUgSGF0Y2ggNS1kb29y/?price=464975" TargetMode="External"/><Relationship Id="rId118" Type="http://schemas.openxmlformats.org/officeDocument/2006/relationships/hyperlink" Target="https://www.carmag.co.za/car-price-guide-view/lexus-es-250-ex/TGV4dXMgRVMgMjUwIEVY/?price=771400" TargetMode="External"/><Relationship Id="rId325" Type="http://schemas.openxmlformats.org/officeDocument/2006/relationships/hyperlink" Target="https://www.carmag.co.za/car-price-guide-view/porsche-911-turbo-s-cabriolet/UG9yc2NoZSA5MTEgdHVyYm8gUyBDYWJyaW9sZXQ=/?price=4409000" TargetMode="External"/><Relationship Id="rId171" Type="http://schemas.openxmlformats.org/officeDocument/2006/relationships/hyperlink" Target="https://www.carmag.co.za/car-price-guide-view/lexus-es-300h-se/TGV4dXMgRVMgMzAwaCBTRQ==/?price=1021300" TargetMode="External"/><Relationship Id="rId227" Type="http://schemas.openxmlformats.org/officeDocument/2006/relationships/hyperlink" Target="https://www.carmag.co.za/car-price-guide-view/audi-a7-sportback-55tfsi-quattro-s-line/QXVkaSBBNyBTcG9ydGJhY2sgNTVURlNJIHF1YXR0cm8gUyBsaW5l/?price=1505980" TargetMode="External"/><Relationship Id="rId269" Type="http://schemas.openxmlformats.org/officeDocument/2006/relationships/hyperlink" Target="https://www.carmag.co.za/car-price-guide-view/bmw-m850i-xdrive-coupe/Qk1XIE04NTBpIHhEcml2ZSBDb3Vww6k=/?price=2302922" TargetMode="External"/><Relationship Id="rId33" Type="http://schemas.openxmlformats.org/officeDocument/2006/relationships/hyperlink" Target="https://www.carmag.co.za/car-price-guide-view/toyota-corolla-quest-1-8-plus/VG95b3RhIENvcm9sbGEgUXVlc3QgMS44IFBsdXM=/?price=329000" TargetMode="External"/><Relationship Id="rId129" Type="http://schemas.openxmlformats.org/officeDocument/2006/relationships/hyperlink" Target="https://www.carmag.co.za/car-price-guide-view/audi-a5-coupe-40tfsi/QXVkaSBBNSBDb3Vww6kgNDBURlNJ/?price=834300" TargetMode="External"/><Relationship Id="rId280" Type="http://schemas.openxmlformats.org/officeDocument/2006/relationships/hyperlink" Target="https://www.carmag.co.za/car-price-guide-view/porsche-panamera-gts/UG9yc2NoZSBQYW5hbWVyYSBHVFM=/?price=2463000" TargetMode="External"/><Relationship Id="rId336" Type="http://schemas.openxmlformats.org/officeDocument/2006/relationships/hyperlink" Target="https://www.carmag.co.za/car-price-guide-view/bentley-flying-spur-speed/QmVudGxleSBGbHlpbmcgU3B1ciBTcGVlZA==/?price=5440000" TargetMode="External"/><Relationship Id="rId75" Type="http://schemas.openxmlformats.org/officeDocument/2006/relationships/hyperlink" Target="https://www.carmag.co.za/car-price-guide-view/audi-a1-sportback-35tfsi/QXVkaSBBMSBTcG9ydGJhY2sgMzVURlNJ/?price=527900" TargetMode="External"/><Relationship Id="rId140" Type="http://schemas.openxmlformats.org/officeDocument/2006/relationships/hyperlink" Target="https://www.carmag.co.za/car-price-guide-view/mercedes-benz-cla200-amg-line/TWVyY2VkZXMtQmVueiBDTEEyMDAgQU1HIExpbmU=/?price=885463" TargetMode="External"/><Relationship Id="rId182" Type="http://schemas.openxmlformats.org/officeDocument/2006/relationships/hyperlink" Target="https://www.carmag.co.za/car-price-guide-view/bmw-520d/Qk1XIDUyMGQ=/?price=1081376" TargetMode="External"/><Relationship Id="rId6" Type="http://schemas.openxmlformats.org/officeDocument/2006/relationships/hyperlink" Target="https://www.carmag.co.za/car-price-guide-view/renault-kwid-1-0-climber/UmVuYXVsdCBLd2lkIDEuMCBDbGltYmVy/?price=211999" TargetMode="External"/><Relationship Id="rId238" Type="http://schemas.openxmlformats.org/officeDocument/2006/relationships/hyperlink" Target="https://www.carmag.co.za/car-price-guide-view/porsche-panamera-4/UG9yc2NoZSBQYW5hbWVyYSA0/?price=1770000" TargetMode="External"/><Relationship Id="rId291" Type="http://schemas.openxmlformats.org/officeDocument/2006/relationships/hyperlink" Target="https://www.carmag.co.za/car-price-guide-view/mercedes-benz-eqs-450-sedan/TWVyY2VkZXMtQmVueiBFUVMgNDUwKyBTZWRhbg==/?price=2620500" TargetMode="External"/><Relationship Id="rId305" Type="http://schemas.openxmlformats.org/officeDocument/2006/relationships/hyperlink" Target="https://www.carmag.co.za/car-price-guide-view/porsche-taycan-turbo/UG9yc2NoZSBUYXljYW4gdHVyYm8=/?price=3329000" TargetMode="External"/><Relationship Id="rId347" Type="http://schemas.openxmlformats.org/officeDocument/2006/relationships/hyperlink" Target="https://www.carmag.co.za/car-price-guide-view/bentley-flying-spur-w12-mulliner/QmVudGxleSBGbHlpbmcgU3B1ciBXMTIgTXVsbGluZXI=/?price=6700000" TargetMode="External"/><Relationship Id="rId44" Type="http://schemas.openxmlformats.org/officeDocument/2006/relationships/hyperlink" Target="https://www.carmag.co.za/car-price-guide-view/mazda-mazda2-1-5-individual/TWF6ZGEgTWF6ZGEyIDEuNSBJbmRpdmlkdWFs/?price=379500" TargetMode="External"/><Relationship Id="rId86" Type="http://schemas.openxmlformats.org/officeDocument/2006/relationships/hyperlink" Target="https://www.carmag.co.za/car-price-guide-view/mini-cooper-s-hatch-3-door-resolute-edition/TUlOSSBDb29wZXIgUyBIYXRjaCAzLWRvb3IgUmVzb2x1dGUgRWRpdGlvbg==/?price=624662" TargetMode="External"/><Relationship Id="rId151" Type="http://schemas.openxmlformats.org/officeDocument/2006/relationships/hyperlink" Target="https://www.carmag.co.za/car-price-guide-view/audi-a5-coupe-40tdi-quattro-s-line/QXVkaSBBNSBDb3Vww6kgNDBUREkgcXVhdHRybyBTIGxpbmU=/?price=928300" TargetMode="External"/><Relationship Id="rId193" Type="http://schemas.openxmlformats.org/officeDocument/2006/relationships/hyperlink" Target="https://www.carmag.co.za/car-price-guide-view/bmw-530i-m-sport/Qk1XIDUzMGkgTSBTcG9ydA==/?price=1146356" TargetMode="External"/><Relationship Id="rId207" Type="http://schemas.openxmlformats.org/officeDocument/2006/relationships/hyperlink" Target="https://www.carmag.co.za/car-price-guide-view/ford-mustang-5-0-mach-1-fastback/Rm9yZCBNdXN0YW5nIDUuMCBNYWNoIDEgRmFzdGJhY2s=/?price=1233400" TargetMode="External"/><Relationship Id="rId249" Type="http://schemas.openxmlformats.org/officeDocument/2006/relationships/hyperlink" Target="https://www.carmag.co.za/car-price-guide-view/porsche-panamera-4-executive/UG9yc2NoZSBQYW5hbWVyYSA0IGV4ZWN1dGl2ZQ==/?price=2024000" TargetMode="External"/><Relationship Id="rId13" Type="http://schemas.openxmlformats.org/officeDocument/2006/relationships/hyperlink" Target="https://www.carmag.co.za/car-price-guide-view/hyundai-grand-i10-1-0-motion/SHl1bmRhaSBHcmFuZCBpMTAgMS4wIE1vdGlvbg==/?price=242900" TargetMode="External"/><Relationship Id="rId109" Type="http://schemas.openxmlformats.org/officeDocument/2006/relationships/hyperlink" Target="https://www.carmag.co.za/car-price-guide-view/bmw-220i-gran-coupe/Qk1XIDIyMGkgR3JhbiBDb3Vww6k=/?price=742590" TargetMode="External"/><Relationship Id="rId260" Type="http://schemas.openxmlformats.org/officeDocument/2006/relationships/hyperlink" Target="https://www.carmag.co.za/car-price-guide-view/mercedes-amg-eqe-43-4matic-sedan/TWVyY2VkZXMtQU1HIEVRRSA0MyA0TWF0aWMgU2VkYW4=/?price=2200000" TargetMode="External"/><Relationship Id="rId316" Type="http://schemas.openxmlformats.org/officeDocument/2006/relationships/hyperlink" Target="https://www.carmag.co.za/car-price-guide-view/porsche-panamera-turbo-s-e-hybrid/UG9yc2NoZSBQYW5hbWVyYSB0dXJibyBTIGUtaHlicmlk/?price=3582000" TargetMode="External"/><Relationship Id="rId55" Type="http://schemas.openxmlformats.org/officeDocument/2006/relationships/hyperlink" Target="https://www.carmag.co.za/car-price-guide-view/honda-fit-1-5-executive/SG9uZGEgRml0IDEuNSBFeGVjdXRpdmU=/?price=423500" TargetMode="External"/><Relationship Id="rId97" Type="http://schemas.openxmlformats.org/officeDocument/2006/relationships/hyperlink" Target="https://www.carmag.co.za/car-price-guide-view/bmw-218i-gran-coupe/Qk1XIDIxOGkgR3JhbiBDb3Vww6k=/?price=691072" TargetMode="External"/><Relationship Id="rId120" Type="http://schemas.openxmlformats.org/officeDocument/2006/relationships/hyperlink" Target="https://www.carmag.co.za/car-price-guide-view/hyundai-i30-n/SHl1bmRhaSBpMzAgTg==/?price=779900" TargetMode="External"/><Relationship Id="rId162" Type="http://schemas.openxmlformats.org/officeDocument/2006/relationships/hyperlink" Target="https://www.carmag.co.za/car-price-guide-view/bmw-m235i-xdrive-gran-coupe/Qk1XIE0yMzVpIHhEcml2ZSBHcmFuIENvdXDDqQ==/?price=980840" TargetMode="External"/><Relationship Id="rId218" Type="http://schemas.openxmlformats.org/officeDocument/2006/relationships/hyperlink" Target="https://www.carmag.co.za/car-price-guide-view/bmw-m340i-xdrive/Qk1XIE0zNDBpIHhEcml2ZQ==/?price=1338207" TargetMode="External"/><Relationship Id="rId271" Type="http://schemas.openxmlformats.org/officeDocument/2006/relationships/hyperlink" Target="https://www.carmag.co.za/car-price-guide-view/porsche-panamera-4-e-hybrid-executive/UG9yc2NoZSBQYW5hbWVyYSA0IGUtaHlicmlkIGV4ZWN1dGl2ZQ==/?price=2359000" TargetMode="External"/><Relationship Id="rId24" Type="http://schemas.openxmlformats.org/officeDocument/2006/relationships/hyperlink" Target="https://www.carmag.co.za/car-price-guide-view/kia-pegas-1-4-ex/S2lhIFBlZ2FzIDEuNCBFWA==/?price=280995" TargetMode="External"/><Relationship Id="rId66" Type="http://schemas.openxmlformats.org/officeDocument/2006/relationships/hyperlink" Target="https://www.carmag.co.za/car-price-guide-view/fiat-tipo-sedan-1-6-city-life/RmlhdCBUaXBvIFNlZGFuIDEuNiBDaXR5IExpZmU=/?price=469900" TargetMode="External"/><Relationship Id="rId131" Type="http://schemas.openxmlformats.org/officeDocument/2006/relationships/hyperlink" Target="https://www.carmag.co.za/car-price-guide-view/bmw-220i-coupe-m-sport/Qk1XIDIyMGkgQ291cMOpIE0gU3BvcnQ=/?price=842590" TargetMode="External"/><Relationship Id="rId327" Type="http://schemas.openxmlformats.org/officeDocument/2006/relationships/hyperlink" Target="https://www.carmag.co.za/car-price-guide-view/maserati-quattroporte-trofeo/TWFzZXJhdGkgUXVhdHRyb3BvcnRlIFRyb2Zlbw==/?price=4500000" TargetMode="External"/><Relationship Id="rId173" Type="http://schemas.openxmlformats.org/officeDocument/2006/relationships/hyperlink" Target="https://www.carmag.co.za/car-price-guide-view/volvo-s90-b5-ultimate-dark/Vm9sdm8gUzkwIEI1IFVsdGltYXRlIERhcms=/?price=1035400" TargetMode="External"/><Relationship Id="rId229" Type="http://schemas.openxmlformats.org/officeDocument/2006/relationships/hyperlink" Target="https://www.carmag.co.za/car-price-guide-view/audi-rs5-coupe-quattro/QXVkaSBSUzUgQ291cMOpIHF1YXR0cm8=/?price=1552700" TargetMode="External"/><Relationship Id="rId240" Type="http://schemas.openxmlformats.org/officeDocument/2006/relationships/hyperlink" Target="https://www.carmag.co.za/car-price-guide-view/mercedes-benz-eqe-350-sedan/TWVyY2VkZXMtQmVueiBFUUUgMzUwKyBTZWRhbg==/?price=1800000" TargetMode="External"/><Relationship Id="rId35" Type="http://schemas.openxmlformats.org/officeDocument/2006/relationships/hyperlink" Target="https://www.carmag.co.za/car-price-guide-view/hyundai-i20-1-4-motion/SHl1bmRhaSBpMjAgMS40IE1vdGlvbg==/?price=336900" TargetMode="External"/><Relationship Id="rId77" Type="http://schemas.openxmlformats.org/officeDocument/2006/relationships/hyperlink" Target="https://www.carmag.co.za/car-price-guide-view/toyota-corolla-1-8-hybrid-xr/VG95b3RhIENvcm9sbGEgMS44IEh5YnJpZCBYUg==/?price=532200" TargetMode="External"/><Relationship Id="rId100" Type="http://schemas.openxmlformats.org/officeDocument/2006/relationships/hyperlink" Target="https://www.carmag.co.za/car-price-guide-view/mini-john-cooper-works-hatch-3-door/TUlOSSBKb2huIENvb3BlciBXb3JrcyBIYXRjaCAzLWRvb3I=/?price=719464" TargetMode="External"/><Relationship Id="rId282" Type="http://schemas.openxmlformats.org/officeDocument/2006/relationships/hyperlink" Target="https://www.carmag.co.za/car-price-guide-view/porsche-panamera-4s-e-hybrid/UG9yc2NoZSBQYW5hbWVyYSA0UyBlLWh5YnJpZA==/?price=2479000" TargetMode="External"/><Relationship Id="rId338" Type="http://schemas.openxmlformats.org/officeDocument/2006/relationships/hyperlink" Target="https://www.carmag.co.za/car-price-guide-view/bentley-continental-gt-azure/QmVudGxleSBDb250aW5lbnRhbCBHVCBBenVyZQ==/?price=5520000" TargetMode="External"/><Relationship Id="rId8" Type="http://schemas.openxmlformats.org/officeDocument/2006/relationships/hyperlink" Target="https://www.carmag.co.za/car-price-guide-view/toyota-agya-1-0/VG95b3RhIEFneWEgMS4w/?price=215600" TargetMode="External"/><Relationship Id="rId142" Type="http://schemas.openxmlformats.org/officeDocument/2006/relationships/hyperlink" Target="https://www.carmag.co.za/car-price-guide-view/audi-tts-coupe-quattro/QXVkaSBUVFMgQ291cMOpIHF1YXR0cm8=/?price=894100" TargetMode="External"/><Relationship Id="rId184" Type="http://schemas.openxmlformats.org/officeDocument/2006/relationships/hyperlink" Target="https://www.carmag.co.za/car-price-guide-view/mercedes-benz-c220d-amg-line/TWVyY2VkZXMtQmVueiBDMjIwZCBBTUcgTGluZQ==/?price=1084549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rmag.co.za/car-price-guide-view/volkswagen-caddy-maxi-2-0tdi/Vm9sa3N3YWdlbiBDYWRkeSBNYXhpIDIuMFRESQ==/?price=630600" TargetMode="External"/><Relationship Id="rId21" Type="http://schemas.openxmlformats.org/officeDocument/2006/relationships/hyperlink" Target="https://www.carmag.co.za/car-price-guide-view/volkswagen-caddy-1-6/Vm9sa3N3YWdlbiBDYWRkeSAxLjY=/?price=509000" TargetMode="External"/><Relationship Id="rId42" Type="http://schemas.openxmlformats.org/officeDocument/2006/relationships/hyperlink" Target="https://www.carmag.co.za/car-price-guide-view/subaru-outback-2-5i-touring-es/U3ViYXJ1IE91dGJhY2sgMi41aS1Ub3VyaW5nIEVT/?price=788000" TargetMode="External"/><Relationship Id="rId47" Type="http://schemas.openxmlformats.org/officeDocument/2006/relationships/hyperlink" Target="https://www.carmag.co.za/car-price-guide-view/kia-carnival-2-2crdi-ex/S2lhIENhcm5pdmFsIDIuMkNSRGkgRVg=/?price=824995" TargetMode="External"/><Relationship Id="rId63" Type="http://schemas.openxmlformats.org/officeDocument/2006/relationships/hyperlink" Target="https://www.carmag.co.za/car-price-guide-view/kia-carnival-2-2crdi-sxl/S2lhIENhcm5pdmFsIDIuMkNSRGkgU1hM/?price=1049995" TargetMode="External"/><Relationship Id="rId68" Type="http://schemas.openxmlformats.org/officeDocument/2006/relationships/hyperlink" Target="https://www.carmag.co.za/car-price-guide-view/hyundai-staria-2-2d-luxury/SHl1bmRhaSBTdGFyaWEgMi4yRCBMdXh1cnk=/?price=1160900" TargetMode="External"/><Relationship Id="rId84" Type="http://schemas.openxmlformats.org/officeDocument/2006/relationships/hyperlink" Target="https://www.carmag.co.za/car-price-guide-view/mercedes-benz-v300d-avantgarde-amg-line/TWVyY2VkZXMtQmVueiBWMzAwZCBBdmFudGdhcmRlIEFNRyBMaW5l/?price=1843022" TargetMode="External"/><Relationship Id="rId89" Type="http://schemas.openxmlformats.org/officeDocument/2006/relationships/hyperlink" Target="https://www.carmag.co.za/car-price-guide-view/porsche-taycan-turbo-cross-turismo/UG9yc2NoZSBUYXljYW4gdHVyYm8gQ3Jvc3MgVHVyaXNtbw==/?price=3359000" TargetMode="External"/><Relationship Id="rId16" Type="http://schemas.openxmlformats.org/officeDocument/2006/relationships/hyperlink" Target="https://www.carmag.co.za/car-price-guide-view/fiat-doblo-cargo-maxi-1-3-multijet-crew-cab-sx/RmlhdCBEb2Jsw7IgQ2FyZ28gTWF4aSAxLjMgTXVsdGlqZXQgQ3JldyBDYWIgU1g=/?price=447900" TargetMode="External"/><Relationship Id="rId11" Type="http://schemas.openxmlformats.org/officeDocument/2006/relationships/hyperlink" Target="https://www.carmag.co.za/car-price-guide-view/toyota-rumion-1-5-tx/VG95b3RhIFJ1bWlvbiAxLjUgVFg=/?price=326400" TargetMode="External"/><Relationship Id="rId32" Type="http://schemas.openxmlformats.org/officeDocument/2006/relationships/hyperlink" Target="https://www.carmag.co.za/car-price-guide-view/mini-cooper-s-clubman-untold-edition/TUlOSSBDb29wZXIgUyBDbHVibWFuIFVudG9sZCBFZGl0aW9u/?price=714799" TargetMode="External"/><Relationship Id="rId37" Type="http://schemas.openxmlformats.org/officeDocument/2006/relationships/hyperlink" Target="https://www.carmag.co.za/car-price-guide-view/toyota-quantum-2-8-lwb-bus-11-seater-gl/VG95b3RhIFF1YW50dW0gMi44IExXQiBCdXMgMTEtc2VhdGVyIEdM/?price=758200" TargetMode="External"/><Relationship Id="rId53" Type="http://schemas.openxmlformats.org/officeDocument/2006/relationships/hyperlink" Target="https://www.carmag.co.za/car-price-guide-view/mercedes-benz-vito-114-cdi-mixto-pro-crewcab/TWVyY2VkZXMtQmVueiBWaXRvIDExNCBDREkgTWl4dG8gUHJvIENyZXdjYWI=/?price=857845" TargetMode="External"/><Relationship Id="rId58" Type="http://schemas.openxmlformats.org/officeDocument/2006/relationships/hyperlink" Target="https://www.carmag.co.za/car-price-guide-view/opel-zafira-life-2-0td-elegance/T3BlbCBaYWZpcmEgTGlmZSAyLjBURCBFbGVnYW5jZQ==/?price=946900" TargetMode="External"/><Relationship Id="rId74" Type="http://schemas.openxmlformats.org/officeDocument/2006/relationships/hyperlink" Target="https://www.carmag.co.za/car-price-guide-view/mercedes-benz-v220d-amg-line/TWVyY2VkZXMtQmVueiBWMjIwZCBBTUcgTGluZQ==/?price=1366205" TargetMode="External"/><Relationship Id="rId79" Type="http://schemas.openxmlformats.org/officeDocument/2006/relationships/hyperlink" Target="https://www.carmag.co.za/car-price-guide-view/mercedes-benz-v220d-avantgarde/TWVyY2VkZXMtQmVueiBWMjIwZCBBdmFudGdhcmRl/?price=1653741" TargetMode="External"/><Relationship Id="rId5" Type="http://schemas.openxmlformats.org/officeDocument/2006/relationships/hyperlink" Target="https://www.carmag.co.za/car-price-guide-view/suzuki-ertiga-1-5-ga/U3V6dWtpIEVydGlnYSAxLjUgR0E=/?price=258900" TargetMode="External"/><Relationship Id="rId14" Type="http://schemas.openxmlformats.org/officeDocument/2006/relationships/hyperlink" Target="https://www.carmag.co.za/car-price-guide-view/mitsubishi-xpander-1-5-auto/TWl0c3ViaXNoaSBYcGFuZGVyIDEuNSBhdXRv/?price=359995" TargetMode="External"/><Relationship Id="rId22" Type="http://schemas.openxmlformats.org/officeDocument/2006/relationships/hyperlink" Target="https://www.carmag.co.za/car-price-guide-view/volkswagen-caddy-maxi-kombi-2-0tdi/Vm9sa3N3YWdlbiBDYWRkeSBNYXhpIEtvbWJpIDIuMFRESQ==/?price=528200" TargetMode="External"/><Relationship Id="rId27" Type="http://schemas.openxmlformats.org/officeDocument/2006/relationships/hyperlink" Target="https://www.carmag.co.za/car-price-guide-view/toyota-hiace-2-5d-4d-bus-14-seater-gl/VG95b3RhIEhpYWNlIDIuNUQtNEQgQnVzIDE0LXNlYXRlciBHTA==/?price=680900" TargetMode="External"/><Relationship Id="rId30" Type="http://schemas.openxmlformats.org/officeDocument/2006/relationships/hyperlink" Target="https://www.carmag.co.za/car-price-guide-view/volkswagen-transporter-2-0tdi-81kw-crew-bus-lwb-10-seater/Vm9sa3N3YWdlbiBUcmFuc3BvcnRlciAyLjBUREkgODFrVyBDcmV3IEJ1cyBMV0IgMTAtU2VhdGVy/?price=696800" TargetMode="External"/><Relationship Id="rId35" Type="http://schemas.openxmlformats.org/officeDocument/2006/relationships/hyperlink" Target="https://www.carmag.co.za/car-price-guide-view/subaru-outback-2-5i-field-es/U3ViYXJ1IE91dGJhY2sgMi41aS1GaWVsZCBFUw==/?price=728000" TargetMode="External"/><Relationship Id="rId43" Type="http://schemas.openxmlformats.org/officeDocument/2006/relationships/hyperlink" Target="https://www.carmag.co.za/car-price-guide-view/toyota-quantum-2-8-slwb-bus-14-seater-gl-auto/VG95b3RhIFF1YW50dW0gMi44IFNMV0IgQnVzIDE0LXNlYXRlciBHTCBhdXRv/?price=793600" TargetMode="External"/><Relationship Id="rId48" Type="http://schemas.openxmlformats.org/officeDocument/2006/relationships/hyperlink" Target="https://www.carmag.co.za/car-price-guide-view/ford-tourneo-custom-2-0sit-swb-limited/Rm9yZCBUb3VybmVvIEN1c3RvbSAyLjBTaVQgU1dCIExpbWl0ZWQ=/?price=827300" TargetMode="External"/><Relationship Id="rId56" Type="http://schemas.openxmlformats.org/officeDocument/2006/relationships/hyperlink" Target="https://www.carmag.co.za/car-price-guide-view/kia-carnival-2-2crdi-ex/S2lhIENhcm5pdmFsIDIuMkNSRGkgRVgr/?price=904995" TargetMode="External"/><Relationship Id="rId64" Type="http://schemas.openxmlformats.org/officeDocument/2006/relationships/hyperlink" Target="https://www.carmag.co.za/car-price-guide-view/mercedes-benz-vito-116-cdi-tourer-pro/TWVyY2VkZXMtQmVueiBWaXRvIDExNiBDREkgVG91cmVyIFBybw==/?price=1054209" TargetMode="External"/><Relationship Id="rId69" Type="http://schemas.openxmlformats.org/officeDocument/2006/relationships/hyperlink" Target="https://www.carmag.co.za/car-price-guide-view/volvo-v90-cross-country-b5-awd-ultimate/Vm9sdm8gVjkwIENyb3NzIENvdW50cnkgQjUgQVdEIFVsdGltYXRl/?price=1165700" TargetMode="External"/><Relationship Id="rId77" Type="http://schemas.openxmlformats.org/officeDocument/2006/relationships/hyperlink" Target="https://www.carmag.co.za/car-price-guide-view/audi-rs4-avant-quattro/QXVkaSBSUzQgQXZhbnQgcXVhdHRybw==/?price=1448400" TargetMode="External"/><Relationship Id="rId8" Type="http://schemas.openxmlformats.org/officeDocument/2006/relationships/hyperlink" Target="https://www.carmag.co.za/car-price-guide-view/suzuki-ertiga-1-5-gl/U3V6dWtpIEVydGlnYSAxLjUgR0w=/?price=299900" TargetMode="External"/><Relationship Id="rId51" Type="http://schemas.openxmlformats.org/officeDocument/2006/relationships/hyperlink" Target="https://www.carmag.co.za/car-price-guide-view/volkswagen-transporter-2-0tdi-110kw-kombi-swb-trendline/Vm9sa3N3YWdlbiBUcmFuc3BvcnRlciAyLjBUREkgMTEwa1cgS29tYmkgU1dCIFRyZW5kbGluZQ==/?price=853200" TargetMode="External"/><Relationship Id="rId72" Type="http://schemas.openxmlformats.org/officeDocument/2006/relationships/hyperlink" Target="https://www.carmag.co.za/car-price-guide-view/mercedes-benz-vito-119-cdi-tourer-select/TWVyY2VkZXMtQmVueiBWaXRvIDExOSBDREkgVG91cmVyIFNlbGVjdA==/?price=1287532" TargetMode="External"/><Relationship Id="rId80" Type="http://schemas.openxmlformats.org/officeDocument/2006/relationships/hyperlink" Target="https://www.carmag.co.za/car-price-guide-view/mercedes-benz-v250d-avantgarde/TWVyY2VkZXMtQmVueiBWMjUwZCBBdmFudGdhcmRl/?price=1707228" TargetMode="External"/><Relationship Id="rId85" Type="http://schemas.openxmlformats.org/officeDocument/2006/relationships/hyperlink" Target="https://www.carmag.co.za/car-price-guide-view/mercedes-benz-v300d-exclusive/TWVyY2VkZXMtQmVueiBWMzAwZCBFeGNsdXNpdmU=/?price=2042471" TargetMode="External"/><Relationship Id="rId3" Type="http://schemas.openxmlformats.org/officeDocument/2006/relationships/hyperlink" Target="https://www.carmag.co.za/car-price-guide-view/renault-triber-1-0-intens/UmVuYXVsdCBUcmliZXIgMS4wIEludGVucw==/?price=229999" TargetMode="External"/><Relationship Id="rId12" Type="http://schemas.openxmlformats.org/officeDocument/2006/relationships/hyperlink" Target="https://www.carmag.co.za/car-price-guide-view/mitsubishi-xpander-1-5/TWl0c3ViaXNoaSBYcGFuZGVyIDEuNQ==/?price=339995" TargetMode="External"/><Relationship Id="rId17" Type="http://schemas.openxmlformats.org/officeDocument/2006/relationships/hyperlink" Target="https://www.carmag.co.za/car-price-guide-view/opel-combo-life-1-6td-enjoy/T3BlbCBDb21ibyBMaWZlIDEuNlREIEVuam95/?price=464900" TargetMode="External"/><Relationship Id="rId25" Type="http://schemas.openxmlformats.org/officeDocument/2006/relationships/hyperlink" Target="https://www.carmag.co.za/car-price-guide-view/toyota-quantum-2-8-lwb-crew-cab/VG95b3RhIFF1YW50dW0gMi44IExXQiBDcmV3IGNhYg==/?price=615900" TargetMode="External"/><Relationship Id="rId33" Type="http://schemas.openxmlformats.org/officeDocument/2006/relationships/hyperlink" Target="https://www.carmag.co.za/car-price-guide-view/ford-tourneo-custom-2-2tdci-lwb-trend/Rm9yZCBUb3VybmVvIEN1c3RvbSAyLjJURENpIExXQiBUcmVuZA==/?price=720500" TargetMode="External"/><Relationship Id="rId38" Type="http://schemas.openxmlformats.org/officeDocument/2006/relationships/hyperlink" Target="https://www.carmag.co.za/car-price-guide-view/hyundai-staria-2-2d-multicab/SHl1bmRhaSBTdGFyaWEgMi4yRCBNdWx0aWNhYg==/?price=764900" TargetMode="External"/><Relationship Id="rId46" Type="http://schemas.openxmlformats.org/officeDocument/2006/relationships/hyperlink" Target="https://www.carmag.co.za/car-price-guide-view/volkswagen-transporter-2-0tdi-81kw-kombi-swb-trendline/Vm9sa3N3YWdlbiBUcmFuc3BvcnRlciAyLjBUREkgODFrVyBLb21iaSBTV0IgVHJlbmRsaW5l/?price=820200" TargetMode="External"/><Relationship Id="rId59" Type="http://schemas.openxmlformats.org/officeDocument/2006/relationships/hyperlink" Target="https://www.carmag.co.za/car-price-guide-view/hyundai-staria-2-2d-elite/SHl1bmRhaSBTdGFyaWEgMi4yRCBFbGl0ZQ==/?price=964900" TargetMode="External"/><Relationship Id="rId67" Type="http://schemas.openxmlformats.org/officeDocument/2006/relationships/hyperlink" Target="https://www.carmag.co.za/car-price-guide-view/volvo-v90-cross-country-b5-awd-plus/Vm9sdm8gVjkwIENyb3NzIENvdW50cnkgQjUgQVdEIFBsdXM=/?price=1128700" TargetMode="External"/><Relationship Id="rId20" Type="http://schemas.openxmlformats.org/officeDocument/2006/relationships/hyperlink" Target="https://www.carmag.co.za/car-price-guide-view/volkswagen-caddy-kombi-2-0tdi/Vm9sa3N3YWdlbiBDYWRkeSBLb21iaSAyLjBUREk=/?price=500200" TargetMode="External"/><Relationship Id="rId41" Type="http://schemas.openxmlformats.org/officeDocument/2006/relationships/hyperlink" Target="https://www.carmag.co.za/car-price-guide-view/ford-tourneo-custom-2-0sit-lwb-trend/Rm9yZCBUb3VybmVvIEN1c3RvbSAyLjBTaVQgTFdCIFRyZW5k/?price=781100" TargetMode="External"/><Relationship Id="rId54" Type="http://schemas.openxmlformats.org/officeDocument/2006/relationships/hyperlink" Target="https://www.carmag.co.za/car-price-guide-view/volkswagen-transporter-2-0bitdi-146kw-crew-bus-lwb-4motion-8-seater/Vm9sa3N3YWdlbiBUcmFuc3BvcnRlciAyLjBCaVRESSAxNDZrVyBDcmV3IEJ1cyBMV0IgNE1vdGlvbiA4LVNlYXRlcg==/?price=858600" TargetMode="External"/><Relationship Id="rId62" Type="http://schemas.openxmlformats.org/officeDocument/2006/relationships/hyperlink" Target="https://www.carmag.co.za/car-price-guide-view/volvo-v90-cross-country-b5-awd-essential/Vm9sdm8gVjkwIENyb3NzIENvdW50cnkgQjUgQVdEIEVzc2VudGlhbA==/?price=1048700" TargetMode="External"/><Relationship Id="rId70" Type="http://schemas.openxmlformats.org/officeDocument/2006/relationships/hyperlink" Target="https://www.carmag.co.za/car-price-guide-view/mercedes-benz-vito-116-cdi-tourer-select/TWVyY2VkZXMtQmVueiBWaXRvIDExNiBDREkgVG91cmVyIFNlbGVjdA==/?price=1243411" TargetMode="External"/><Relationship Id="rId75" Type="http://schemas.openxmlformats.org/officeDocument/2006/relationships/hyperlink" Target="https://www.carmag.co.za/car-price-guide-view/mercedes-benz-v250d/TWVyY2VkZXMtQmVueiBWMjUwZA==/?price=1373835" TargetMode="External"/><Relationship Id="rId83" Type="http://schemas.openxmlformats.org/officeDocument/2006/relationships/hyperlink" Target="https://www.carmag.co.za/car-price-guide-view/mercedes-benz-v250d-avantgarde-amg-line/TWVyY2VkZXMtQmVueiBWMjUwZCBBdmFudGdhcmRlIEFNRyBMaW5l/?price=1770596" TargetMode="External"/><Relationship Id="rId88" Type="http://schemas.openxmlformats.org/officeDocument/2006/relationships/hyperlink" Target="https://www.carmag.co.za/car-price-guide-view/porsche-taycan-4s-cross-turismo/UG9yc2NoZSBUYXljYW4gNFMgQ3Jvc3MgVHVyaXNtbw==/?price=2549000" TargetMode="External"/><Relationship Id="rId1" Type="http://schemas.openxmlformats.org/officeDocument/2006/relationships/hyperlink" Target="https://www.carmag.co.za/car-price-guide-view/renault-triber-1-0-life/UmVuYXVsdCBUcmliZXIgMS4wIExpZmU=/?price=203999" TargetMode="External"/><Relationship Id="rId6" Type="http://schemas.openxmlformats.org/officeDocument/2006/relationships/hyperlink" Target="https://www.carmag.co.za/car-price-guide-view/toyota-rumion-1-5-s/VG95b3RhIFJ1bWlvbiAxLjUgUw==/?price=265800" TargetMode="External"/><Relationship Id="rId15" Type="http://schemas.openxmlformats.org/officeDocument/2006/relationships/hyperlink" Target="https://www.carmag.co.za/car-price-guide-view/volkswagen-caddy-kombi-1-6/Vm9sa3N3YWdlbiBDYWRkeSBLb21iaSAxLjY=/?price=433400" TargetMode="External"/><Relationship Id="rId23" Type="http://schemas.openxmlformats.org/officeDocument/2006/relationships/hyperlink" Target="https://www.carmag.co.za/car-price-guide-view/mini-cooper-clubman/TUlOSSBDb29wZXIgQ2x1Ym1hbg==/?price=596215" TargetMode="External"/><Relationship Id="rId28" Type="http://schemas.openxmlformats.org/officeDocument/2006/relationships/hyperlink" Target="https://www.carmag.co.za/car-price-guide-view/mini-cooper-s-clubman/TUlOSSBDb29wZXIgUyBDbHVibWFu/?price=691799" TargetMode="External"/><Relationship Id="rId36" Type="http://schemas.openxmlformats.org/officeDocument/2006/relationships/hyperlink" Target="https://www.carmag.co.za/car-price-guide-view/mercedes-benz-vito-111-cdi-mixto-crewcab/TWVyY2VkZXMtQmVueiBWaXRvIDExMSBDREkgTWl4dG8gQ3Jld2NhYg==/?price=747965" TargetMode="External"/><Relationship Id="rId49" Type="http://schemas.openxmlformats.org/officeDocument/2006/relationships/hyperlink" Target="https://www.carmag.co.za/car-price-guide-view/hyundai-staria-2-2d-executive-9-seater/SHl1bmRhaSBTdGFyaWEgMi4yRCBFeGVjdXRpdmUgOS1zZWF0ZXI=/?price=835900" TargetMode="External"/><Relationship Id="rId57" Type="http://schemas.openxmlformats.org/officeDocument/2006/relationships/hyperlink" Target="https://www.carmag.co.za/car-price-guide-view/mercedes-benz-vito-114-cdi-mixto-pro-crewcab-auto/TWVyY2VkZXMtQmVueiBWaXRvIDExNCBDREkgTWl4dG8gUHJvIENyZXdjYWIgYXV0bw==/?price=908137" TargetMode="External"/><Relationship Id="rId10" Type="http://schemas.openxmlformats.org/officeDocument/2006/relationships/hyperlink" Target="https://www.carmag.co.za/car-price-guide-view/suzuki-ertiga-1-5-gl-auto/U3V6dWtpIEVydGlnYSAxLjUgR0wgYXV0bw==/?price=316900" TargetMode="External"/><Relationship Id="rId31" Type="http://schemas.openxmlformats.org/officeDocument/2006/relationships/hyperlink" Target="https://www.carmag.co.za/car-price-guide-view/mercedes-benz-vito-111-cdi-tourer-base/TWVyY2VkZXMtQmVueiBWaXRvIDExMSBDREkgVG91cmVyIEJhc2U=/?price=707643" TargetMode="External"/><Relationship Id="rId44" Type="http://schemas.openxmlformats.org/officeDocument/2006/relationships/hyperlink" Target="https://www.carmag.co.za/car-price-guide-view/volkswagen-transporter-2-0bitdi-146kw-crew-bus-swb-4motion-5-seater/Vm9sa3N3YWdlbiBUcmFuc3BvcnRlciAyLjBCaVRESSAxNDZrVyBDcmV3IEJ1cyBTV0IgNE1vdGlvbiA1LVNlYXRlcg==/?price=806500" TargetMode="External"/><Relationship Id="rId52" Type="http://schemas.openxmlformats.org/officeDocument/2006/relationships/hyperlink" Target="https://www.carmag.co.za/car-price-guide-view/mini-john-cooper-works-all4-clubman/TUlOSSBKb2huIENvb3BlciBXb3JrcyBBTEw0IENsdWJtYW4=/?price=855697" TargetMode="External"/><Relationship Id="rId60" Type="http://schemas.openxmlformats.org/officeDocument/2006/relationships/hyperlink" Target="https://www.carmag.co.za/car-price-guide-view/mercedes-benz-vito-114-cdi-tourer-pro/TWVyY2VkZXMtQmVueiBWaXRvIDExNCBDREkgVG91cmVyIFBybw==/?price=993233" TargetMode="External"/><Relationship Id="rId65" Type="http://schemas.openxmlformats.org/officeDocument/2006/relationships/hyperlink" Target="https://www.carmag.co.za/car-price-guide-view/toyota-quantum-2-8-lwb-bus-6-seater-vx-premium/VG95b3RhIFF1YW50dW0gMi44IExXQiBCdXMgNi1zZWF0ZXIgVlggUHJlbWl1bQ==/?price=1107400" TargetMode="External"/><Relationship Id="rId73" Type="http://schemas.openxmlformats.org/officeDocument/2006/relationships/hyperlink" Target="https://www.carmag.co.za/car-price-guide-view/volkswagen-caravelle-2-0bitdi-146kw-highline-4motion/Vm9sa3N3YWdlbiBDYXJhdmVsbGUgMi4wQmlUREkgMTQ2a1cgSGlnaGxpbmUgNE1vdGlvbg==/?price=1353700" TargetMode="External"/><Relationship Id="rId78" Type="http://schemas.openxmlformats.org/officeDocument/2006/relationships/hyperlink" Target="https://www.carmag.co.za/car-price-guide-view/mercedes-benz-v250d-amg-line/TWVyY2VkZXMtQmVueiBWMjUwZCBBTUcgTGluZQ==/?price=1454478" TargetMode="External"/><Relationship Id="rId81" Type="http://schemas.openxmlformats.org/officeDocument/2006/relationships/hyperlink" Target="https://www.carmag.co.za/car-price-guide-view/mercedes-benz-v220d-avantgarde-amg-line/TWVyY2VkZXMtQmVueiBWMjIwZCBBdmFudGdhcmRlIEFNRyBMaW5l/?price=1717109" TargetMode="External"/><Relationship Id="rId86" Type="http://schemas.openxmlformats.org/officeDocument/2006/relationships/hyperlink" Target="https://www.carmag.co.za/car-price-guide-view/audi-rs6-avant-quattro/QXVkaSBSUzYgQXZhbnQgcXVhdHRybw==/?price=2254600" TargetMode="External"/><Relationship Id="rId4" Type="http://schemas.openxmlformats.org/officeDocument/2006/relationships/hyperlink" Target="https://www.carmag.co.za/car-price-guide-view/renault-triber-1-0-intens-auto/UmVuYXVsdCBUcmliZXIgMS4wIEludGVucyBhdXRv/?price=239999" TargetMode="External"/><Relationship Id="rId9" Type="http://schemas.openxmlformats.org/officeDocument/2006/relationships/hyperlink" Target="https://www.carmag.co.za/car-price-guide-view/toyota-rumion-1-5-sx-auto/VG95b3RhIFJ1bWlvbiAxLjUgU1ggYXV0bw==/?price=313000" TargetMode="External"/><Relationship Id="rId13" Type="http://schemas.openxmlformats.org/officeDocument/2006/relationships/hyperlink" Target="https://www.carmag.co.za/car-price-guide-view/toyota-rumion-1-5-tx-auto/VG95b3RhIFJ1bWlvbiAxLjUgVFggYXV0bw==/?price=343200" TargetMode="External"/><Relationship Id="rId18" Type="http://schemas.openxmlformats.org/officeDocument/2006/relationships/hyperlink" Target="https://www.carmag.co.za/car-price-guide-view/fiat-doblo-cargo-maxi-1-6-multijet-crew-cab-sx/RmlhdCBEb2Jsw7IgQ2FyZ28gTWF4aSAxLjYgTXVsdGlqZXQgQ3JldyBDYWIgU1g=/?price=466900" TargetMode="External"/><Relationship Id="rId39" Type="http://schemas.openxmlformats.org/officeDocument/2006/relationships/hyperlink" Target="https://www.carmag.co.za/car-price-guide-view/toyota-quantum-2-8-slwb-bus-14-seater-gl/VG95b3RhIFF1YW50dW0gMi44IFNMV0IgQnVzIDE0LXNlYXRlciBHTA==/?price=775200" TargetMode="External"/><Relationship Id="rId34" Type="http://schemas.openxmlformats.org/officeDocument/2006/relationships/hyperlink" Target="https://www.carmag.co.za/car-price-guide-view/volkswagen-transporter-2-0tdi-110kw-crew-bus-lwb-5-seater/Vm9sa3N3YWdlbiBUcmFuc3BvcnRlciAyLjBUREkgMTEwa1cgQ3JldyBCdXMgTFdCIDUtU2VhdGVy/?price=724700" TargetMode="External"/><Relationship Id="rId50" Type="http://schemas.openxmlformats.org/officeDocument/2006/relationships/hyperlink" Target="https://www.carmag.co.za/car-price-guide-view/hyundai-staria-2-2d-executive-11-seater/SHl1bmRhaSBTdGFyaWEgMi4yRCBFeGVjdXRpdmUgMTEtc2VhdGVy/?price=846900" TargetMode="External"/><Relationship Id="rId55" Type="http://schemas.openxmlformats.org/officeDocument/2006/relationships/hyperlink" Target="https://www.carmag.co.za/car-price-guide-view/mercedes-benz-vito-111-cdi-tourer-pro/TWVyY2VkZXMtQmVueiBWaXRvIDExMSBDREkgVG91cmVyIFBybw==/?price=865335" TargetMode="External"/><Relationship Id="rId76" Type="http://schemas.openxmlformats.org/officeDocument/2006/relationships/hyperlink" Target="https://www.carmag.co.za/car-price-guide-view/volkswagen-california-2-0bitdi-146kw-coast-4motion/Vm9sa3N3YWdlbiBDYWxpZm9ybmlhIDIuMEJpVERJIDE0NmtXIENvYXN0IDRNb3Rpb24=/?price=1410700" TargetMode="External"/><Relationship Id="rId7" Type="http://schemas.openxmlformats.org/officeDocument/2006/relationships/hyperlink" Target="https://www.carmag.co.za/car-price-guide-view/toyota-rumion-1-5-sx/VG95b3RhIFJ1bWlvbiAxLjUgU1g=/?price=296100" TargetMode="External"/><Relationship Id="rId71" Type="http://schemas.openxmlformats.org/officeDocument/2006/relationships/hyperlink" Target="https://www.carmag.co.za/car-price-guide-view/mercedes-benz-v220d/TWVyY2VkZXMtQmVueiBWMjIwZA==/?price=1285562" TargetMode="External"/><Relationship Id="rId2" Type="http://schemas.openxmlformats.org/officeDocument/2006/relationships/hyperlink" Target="https://www.carmag.co.za/car-price-guide-view/renault-triber-1-0-zen/UmVuYXVsdCBUcmliZXIgMS4wIFplbg==/?price=213999" TargetMode="External"/><Relationship Id="rId29" Type="http://schemas.openxmlformats.org/officeDocument/2006/relationships/hyperlink" Target="https://www.carmag.co.za/car-price-guide-view/ford-tourneo-custom-2-2tdci-lwb-ambiente/Rm9yZCBUb3VybmVvIEN1c3RvbSAyLjJURENpIExXQiBBbWJpZW50ZQ==/?price=692700" TargetMode="External"/><Relationship Id="rId24" Type="http://schemas.openxmlformats.org/officeDocument/2006/relationships/hyperlink" Target="https://www.carmag.co.za/car-price-guide-view/volkswagen-caddy-2-0tdi/Vm9sa3N3YWdlbiBDYWRkeSAyLjBUREk=/?price=602700" TargetMode="External"/><Relationship Id="rId40" Type="http://schemas.openxmlformats.org/officeDocument/2006/relationships/hyperlink" Target="https://www.carmag.co.za/car-price-guide-view/ford-tourneo-custom-2-2tdci-swb-limited/Rm9yZCBUb3VybmVvIEN1c3RvbSAyLjJURENpIFNXQiBMaW1pdGVk/?price=779000" TargetMode="External"/><Relationship Id="rId45" Type="http://schemas.openxmlformats.org/officeDocument/2006/relationships/hyperlink" Target="https://www.carmag.co.za/car-price-guide-view/opel-zafira-life-2-0td-edition/T3BlbCBaYWZpcmEgTGlmZSAyLjBURCBFZGl0aW9u/?price=819000" TargetMode="External"/><Relationship Id="rId66" Type="http://schemas.openxmlformats.org/officeDocument/2006/relationships/hyperlink" Target="https://www.carmag.co.za/car-price-guide-view/toyota-quantum-2-8-lwb-bus-9-seater-vx-premium/VG95b3RhIFF1YW50dW0gMi44IExXQiBCdXMgOS1zZWF0ZXIgVlggUHJlbWl1bQ==/?price=1111400" TargetMode="External"/><Relationship Id="rId87" Type="http://schemas.openxmlformats.org/officeDocument/2006/relationships/hyperlink" Target="https://www.carmag.co.za/car-price-guide-view/porsche-taycan-4-cross-turismo/UG9yc2NoZSBUYXljYW4gNCBDcm9zcyBUdXJpc21v/?price=2449000" TargetMode="External"/><Relationship Id="rId61" Type="http://schemas.openxmlformats.org/officeDocument/2006/relationships/hyperlink" Target="https://www.carmag.co.za/car-price-guide-view/kia-carnival-2-2crdi-sx-limited/S2lhIENhcm5pdmFsIDIuMkNSRGkgU1ggTGltaXRlZA==/?price=1024995" TargetMode="External"/><Relationship Id="rId82" Type="http://schemas.openxmlformats.org/officeDocument/2006/relationships/hyperlink" Target="https://www.carmag.co.za/car-price-guide-view/mercedes-benz-v300d-avantgarde/TWVyY2VkZXMtQmVueiBWMzAwZCBBdmFudGdhcmRl/?price=1754412" TargetMode="External"/><Relationship Id="rId19" Type="http://schemas.openxmlformats.org/officeDocument/2006/relationships/hyperlink" Target="https://www.carmag.co.za/car-price-guide-view/fiat-doblo-combi-maxi-1-6-multijet-sx/RmlhdCBEb2Jsw7IgQ29tYmkgTWF4aSAxLjYgTXVsdGlqZXQgU1g=/?price=49990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mag.co.za/car-price-guide-view/mitsubishi-asx-2-0-aspire/TWl0c3ViaXNoaSBBU1ggMi4wIEFzcGlyZQ==/?price=464995" TargetMode="External"/><Relationship Id="rId21" Type="http://schemas.openxmlformats.org/officeDocument/2006/relationships/hyperlink" Target="https://www.carmag.co.za/car-price-guide-view/mahindra-kuv100-nxt-1-2td-d75-k8/TWFoaW5kcmEgS1VWMTAwIE54dCAxLjJURCBENzUgSzg=/?price=283999" TargetMode="External"/><Relationship Id="rId324" Type="http://schemas.openxmlformats.org/officeDocument/2006/relationships/hyperlink" Target="https://www.carmag.co.za/car-price-guide-view/volvo-xc60-b6-awd-plus-dark/Vm9sdm8gWEM2MCBCNiBBV0QgUGx1cyBEYXJr/?price=1063800" TargetMode="External"/><Relationship Id="rId531" Type="http://schemas.openxmlformats.org/officeDocument/2006/relationships/hyperlink" Target="https://www.carmag.co.za/car-price-guide-view/mercedes-amg-gle53-4matic/TWVyY2VkZXMtQU1HIEdMRTUzIDRNYXRpYys=/?price=2180414" TargetMode="External"/><Relationship Id="rId170" Type="http://schemas.openxmlformats.org/officeDocument/2006/relationships/hyperlink" Target="https://www.carmag.co.za/car-price-guide-view/nissan-qashqai-1-3t-visia/Tmlzc2FuIFFhc2hxYWkgMS4zVCBWaXNpYQ==/?price=568200" TargetMode="External"/><Relationship Id="rId268" Type="http://schemas.openxmlformats.org/officeDocument/2006/relationships/hyperlink" Target="https://www.carmag.co.za/car-price-guide-view/volkswagen-tiguan-2-0tdi-130kw-4motion-r-line/Vm9sa3N3YWdlbiBUaWd1YW4gMi4wVERJIDEzMGtXIDRNb3Rpb24gUi1MaW5l/?price=794800" TargetMode="External"/><Relationship Id="rId475" Type="http://schemas.openxmlformats.org/officeDocument/2006/relationships/hyperlink" Target="https://www.carmag.co.za/car-price-guide-view/land-rover-range-rover-velar-p340-dynamic-hse/TGFuZCBSb3ZlciBSYW5nZSBSb3ZlciBWZWxhciBQMzQwIER5bmFtaWMgSFNF/?price=1788000" TargetMode="External"/><Relationship Id="rId32" Type="http://schemas.openxmlformats.org/officeDocument/2006/relationships/hyperlink" Target="https://www.carmag.co.za/car-price-guide-view/ford-ecosport-1-5-ambiente/Rm9yZCBFY29TcG9ydCAxLjUgQW1iaWVudGU=/?price=311400" TargetMode="External"/><Relationship Id="rId128" Type="http://schemas.openxmlformats.org/officeDocument/2006/relationships/hyperlink" Target="https://www.carmag.co.za/car-price-guide-view/haval-h6-2-0gdit-premium/SGF2YWwgSDYgMi4wR0RJVCBQcmVtaXVt/?price=479950" TargetMode="External"/><Relationship Id="rId335" Type="http://schemas.openxmlformats.org/officeDocument/2006/relationships/hyperlink" Target="https://www.carmag.co.za/car-price-guide-view/land-rover-discovery-sport-d200-urban-edition/TGFuZCBSb3ZlciBEaXNjb3ZlcnkgU3BvcnQgRDIwMCBVcmJhbiBFZGl0aW9u/?price=1108500" TargetMode="External"/><Relationship Id="rId542" Type="http://schemas.openxmlformats.org/officeDocument/2006/relationships/hyperlink" Target="https://www.carmag.co.za/car-price-guide-view/lexus-lx-500d-f-sport/TGV4dXMgTFggNTAwZCBGIFNwb3J0/?price=2350200" TargetMode="External"/><Relationship Id="rId181" Type="http://schemas.openxmlformats.org/officeDocument/2006/relationships/hyperlink" Target="https://www.carmag.co.za/car-price-guide-view/honda-cr-v-2-0-comfort/SG9uZGEgQ1ItViAyLjAgQ29tZm9ydA==/?price=586600" TargetMode="External"/><Relationship Id="rId402" Type="http://schemas.openxmlformats.org/officeDocument/2006/relationships/hyperlink" Target="https://www.carmag.co.za/car-price-guide-view/jaguar-f-pace-d200-awd-r-dynamic-hse/SmFndWFyIEYtUGFjZSBEMjAwIEFXRCBSLUR5bmFtaWMgSFNF/?price=1417000" TargetMode="External"/><Relationship Id="rId279" Type="http://schemas.openxmlformats.org/officeDocument/2006/relationships/hyperlink" Target="https://www.carmag.co.za/car-price-guide-view/alfa-romeo-tonale-1-5t-hybrid-veloce/QWxmYSBSb21lbyBUb25hbGUgMS41VCBIeWJyaWQgVmVsb2Nl/?price=819900" TargetMode="External"/><Relationship Id="rId486" Type="http://schemas.openxmlformats.org/officeDocument/2006/relationships/hyperlink" Target="https://www.carmag.co.za/car-price-guide-view/mercedes-benz-gle400d-4matic-amg-line/TWVyY2VkZXMtQmVueiBHTEU0MDBkIDRNYXRpYyBBTUcgTGluZQ==/?price=1837793" TargetMode="External"/><Relationship Id="rId43" Type="http://schemas.openxmlformats.org/officeDocument/2006/relationships/hyperlink" Target="https://www.carmag.co.za/car-price-guide-view/suzuki-jimny-1-5-ga-allgrip/U3V6dWtpIEppbW55IDEuNSBHQSBBbGxHcmlw/?price=334900" TargetMode="External"/><Relationship Id="rId139" Type="http://schemas.openxmlformats.org/officeDocument/2006/relationships/hyperlink" Target="https://www.carmag.co.za/car-price-guide-view/mahindra-scorpio-n-2-2d-z8/TWFoaW5kcmEgU2NvcnBpby1OIDIuMkQgWjg=/?price=510000" TargetMode="External"/><Relationship Id="rId346" Type="http://schemas.openxmlformats.org/officeDocument/2006/relationships/hyperlink" Target="https://www.carmag.co.za/car-price-guide-view/lexus-nx-350-awd-f-sport/TGV4dXMgTlggMzUwIEFXRCBGIFNwb3J0/?price=1140900" TargetMode="External"/><Relationship Id="rId553" Type="http://schemas.openxmlformats.org/officeDocument/2006/relationships/hyperlink" Target="https://www.carmag.co.za/car-price-guide-view/porsche-cayenne-turbo-coupe/UG9yc2NoZSBDYXllbm5lIHR1cmJvIENvdXDDqQ==/?price=2706000" TargetMode="External"/><Relationship Id="rId192" Type="http://schemas.openxmlformats.org/officeDocument/2006/relationships/hyperlink" Target="https://www.carmag.co.za/car-price-guide-view/kia-sportage-1-6t-gdi-ex/S2lhIFNwb3J0YWdlIDEuNlQtR0RpIEVY/?price=608995" TargetMode="External"/><Relationship Id="rId206" Type="http://schemas.openxmlformats.org/officeDocument/2006/relationships/hyperlink" Target="https://www.carmag.co.za/car-price-guide-view/mini-cooper-countryman/TUlOSSBDb29wZXIgQ291bnRyeW1hbg==/?price=644940" TargetMode="External"/><Relationship Id="rId413" Type="http://schemas.openxmlformats.org/officeDocument/2006/relationships/hyperlink" Target="https://www.carmag.co.za/car-price-guide-view/jaguar-e-pace-p300e-awd-r-dynamic-se/SmFndWFyIEUtUGFjZSBQMzAwZSBBV0QgUi1EeW5hbWljIFNF/?price=1478000" TargetMode="External"/><Relationship Id="rId497" Type="http://schemas.openxmlformats.org/officeDocument/2006/relationships/hyperlink" Target="https://www.carmag.co.za/car-price-guide-view/land-rover-discovery-d300-metropolitan-edition/TGFuZCBSb3ZlciBEaXNjb3ZlcnkgRDMwMCBNZXRyb3BvbGl0YW4gRWRpdGlvbg==/?price=1916900" TargetMode="External"/><Relationship Id="rId357" Type="http://schemas.openxmlformats.org/officeDocument/2006/relationships/hyperlink" Target="https://www.carmag.co.za/car-price-guide-view/audi-rsq3-quattro/QXVkaSBSU1EzIHF1YXR0cm8=/?price=1195900" TargetMode="External"/><Relationship Id="rId54" Type="http://schemas.openxmlformats.org/officeDocument/2006/relationships/hyperlink" Target="https://www.carmag.co.za/car-price-guide-view/toyota-urban-cruiser-1-5-xr-auto/VG95b3RhIFVyYmFuIENydWlzZXIgMS41IFhSIGF1dG8=/?price=357100" TargetMode="External"/><Relationship Id="rId217" Type="http://schemas.openxmlformats.org/officeDocument/2006/relationships/hyperlink" Target="https://www.carmag.co.za/car-price-guide-view/hyundai-tucson-2-0-elite/SHl1bmRhaSBUdWNzb24gMi4wIEVsaXRl/?price=669900" TargetMode="External"/><Relationship Id="rId564" Type="http://schemas.openxmlformats.org/officeDocument/2006/relationships/hyperlink" Target="https://www.carmag.co.za/car-price-guide-view/bmw-x6-m-competition/Qk1XIFg2IE0gY29tcGV0aXRpb24=/?price=3028842" TargetMode="External"/><Relationship Id="rId424" Type="http://schemas.openxmlformats.org/officeDocument/2006/relationships/hyperlink" Target="https://www.carmag.co.za/car-price-guide-view/land-rover-defender-110-d300-x-dynamic-se/TGFuZCBSb3ZlciBEZWZlbmRlciAxMTAgRDMwMCBYLUR5bmFtaWMgU0U=/?price=1535600" TargetMode="External"/><Relationship Id="rId270" Type="http://schemas.openxmlformats.org/officeDocument/2006/relationships/hyperlink" Target="https://www.carmag.co.za/car-price-guide-view/isuzu-mu-x-3-0td-lse/SXN1enUgbXUtWCAzLjBURCBMU0U=/?price=795000" TargetMode="External"/><Relationship Id="rId65" Type="http://schemas.openxmlformats.org/officeDocument/2006/relationships/hyperlink" Target="https://www.carmag.co.za/car-price-guide-view/kia-sonet-1-0t-ex/S2lhIFNvbmV0IDEuMFQgRVg=/?price=379995" TargetMode="External"/><Relationship Id="rId130" Type="http://schemas.openxmlformats.org/officeDocument/2006/relationships/hyperlink" Target="https://www.carmag.co.za/car-price-guide-view/toyota-corolla-cross-1-8-hybrid-xr/VG95b3RhIENvcm9sbGEgQ3Jvc3MgMS44IEh5YnJpZCBYUg==/?price=480200" TargetMode="External"/><Relationship Id="rId368" Type="http://schemas.openxmlformats.org/officeDocument/2006/relationships/hyperlink" Target="https://www.carmag.co.za/car-price-guide-view/audi-rsq3-sportback-quattro/QXVkaSBSU1EzIFNwb3J0YmFjayBxdWF0dHJv/?price=1232300" TargetMode="External"/><Relationship Id="rId575" Type="http://schemas.openxmlformats.org/officeDocument/2006/relationships/hyperlink" Target="https://www.carmag.co.za/car-price-guide-view/land-rover-range-rover-d350-autobiography-l/TGFuZCBSb3ZlciBSYW5nZSBSb3ZlciBEMzUwIEF1dG9iaW9ncmFwaHkgTA==/?price=3513600" TargetMode="External"/><Relationship Id="rId228" Type="http://schemas.openxmlformats.org/officeDocument/2006/relationships/hyperlink" Target="https://www.carmag.co.za/car-price-guide-view/toyota-rav4-2-5-hybrid-gx-r-e-four/VG95b3RhIFJBVjQgMi41IEh5YnJpZCBHWC1SIEUtRm91cg==/?price=698700" TargetMode="External"/><Relationship Id="rId435" Type="http://schemas.openxmlformats.org/officeDocument/2006/relationships/hyperlink" Target="https://www.carmag.co.za/car-price-guide-view/mercedes-amg-glc43-coupe-4matic/TWVyY2VkZXMtQU1HIEdMQzQzIENvdXDDqSA0TWF0aWM=/?price=1608193" TargetMode="External"/><Relationship Id="rId281" Type="http://schemas.openxmlformats.org/officeDocument/2006/relationships/hyperlink" Target="https://www.carmag.co.za/car-price-guide-view/kia-sorento-2-2crdi-ex/S2lhIFNvcmVudG8gMi4yQ1JEaSBFWCs=/?price=834995" TargetMode="External"/><Relationship Id="rId502" Type="http://schemas.openxmlformats.org/officeDocument/2006/relationships/hyperlink" Target="https://www.carmag.co.za/car-price-guide-view/alfa-romeo-stelvio-quadrifoglio-q4/QWxmYSBSb21lbyBTdGVsdmlvIFF1YWRyaWZvZ2xpbyBRNA==/?price=1936900" TargetMode="External"/><Relationship Id="rId76" Type="http://schemas.openxmlformats.org/officeDocument/2006/relationships/hyperlink" Target="https://www.carmag.co.za/car-price-guide-view/ford-ecosport-1-0t-titanium/Rm9yZCBFY29TcG9ydCAxLjBUIFRpdGFuaXVt/?price=401600" TargetMode="External"/><Relationship Id="rId141" Type="http://schemas.openxmlformats.org/officeDocument/2006/relationships/hyperlink" Target="https://www.carmag.co.za/car-price-guide-view/volkswagen-taigo-1-0tsi-r-line/Vm9sa3N3YWdlbiBUYWlnbyAxLjBUU0kgUi1MaW5l/?price=513100" TargetMode="External"/><Relationship Id="rId379" Type="http://schemas.openxmlformats.org/officeDocument/2006/relationships/hyperlink" Target="https://www.carmag.co.za/car-price-guide-view/volvo-xc60-t8-recharge-awd-plus-dark/Vm9sdm8gWEM2MCBUOCBSZWNoYXJnZSBBV0QgUGx1cyBEYXJr/?price=1284000" TargetMode="External"/><Relationship Id="rId586" Type="http://schemas.openxmlformats.org/officeDocument/2006/relationships/hyperlink" Target="https://www.carmag.co.za/car-price-guide-view/land-rover-range-rover-p530-autobiography-l-7-seats/TGFuZCBSb3ZlciBSYW5nZSBSb3ZlciBQNTMwIEF1dG9iaW9ncmFwaHkgTCA3IHNlYXRz/?price=3726600" TargetMode="External"/><Relationship Id="rId7" Type="http://schemas.openxmlformats.org/officeDocument/2006/relationships/hyperlink" Target="https://www.carmag.co.za/car-price-guide-view/mahindra-kuv100-nxt-1-2-g80-k6-dare/TWFoaW5kcmEgS1VWMTAwIE54dCAxLjIgRzgwIEs2KyAjREFSRQ==/?price=227999" TargetMode="External"/><Relationship Id="rId239" Type="http://schemas.openxmlformats.org/officeDocument/2006/relationships/hyperlink" Target="https://www.carmag.co.za/car-price-guide-view/mazda-cx-5-2-5-awd-individual/TWF6ZGEgQ1gtNSAyLjUgQVdEIEluZGl2aWR1YWw=/?price=729500" TargetMode="External"/><Relationship Id="rId446" Type="http://schemas.openxmlformats.org/officeDocument/2006/relationships/hyperlink" Target="https://www.carmag.co.za/car-price-guide-view/bmw-x5-xdrive30d-m-sport/Qk1XIFg1IHhEcml2ZTMwZCBNIFNwb3J0/?price=1650510" TargetMode="External"/><Relationship Id="rId292" Type="http://schemas.openxmlformats.org/officeDocument/2006/relationships/hyperlink" Target="https://www.carmag.co.za/car-price-guide-view/lexus-ux-250h-se/TGV4dXMgVVggMjUwaCBTRQ==/?price=891800" TargetMode="External"/><Relationship Id="rId306" Type="http://schemas.openxmlformats.org/officeDocument/2006/relationships/hyperlink" Target="https://www.carmag.co.za/car-price-guide-view/hyundai-santa-fe-2-2d-4wd-elite/SHl1bmRhaSBTYW50YSBGZSAyLjJEIDRXRCBFbGl0ZQ==/?price=964900" TargetMode="External"/><Relationship Id="rId87" Type="http://schemas.openxmlformats.org/officeDocument/2006/relationships/hyperlink" Target="https://www.carmag.co.za/car-price-guide-view/ford-ecosport-1-0t-titanium-auto/Rm9yZCBFY29TcG9ydCAxLjBUIFRpdGFuaXVtIGF1dG8=/?price=416900" TargetMode="External"/><Relationship Id="rId513" Type="http://schemas.openxmlformats.org/officeDocument/2006/relationships/hyperlink" Target="https://www.carmag.co.za/car-price-guide-view/land-rover-range-rover-velar-p400e-dynamic-hse/TGFuZCBSb3ZlciBSYW5nZSBSb3ZlciBWZWxhciBQNDAwZSBEeW5hbWljIEhTRQ==/?price=2008000" TargetMode="External"/><Relationship Id="rId597" Type="http://schemas.openxmlformats.org/officeDocument/2006/relationships/hyperlink" Target="https://www.carmag.co.za/car-price-guide-view/bentley-bentayga-s/QmVudGxleSBCZW50YXlnYSBT/?price=5310000" TargetMode="External"/><Relationship Id="rId152" Type="http://schemas.openxmlformats.org/officeDocument/2006/relationships/hyperlink" Target="https://www.carmag.co.za/car-price-guide-view/subaru-xv-2-0i-s-es/U3ViYXJ1IFhWIDIuMGktUyBFUw==/?price=531000" TargetMode="External"/><Relationship Id="rId457" Type="http://schemas.openxmlformats.org/officeDocument/2006/relationships/hyperlink" Target="https://www.carmag.co.za/car-price-guide-view/porsche-cayenne-s/UG9yc2NoZSBDYXllbm5lIFM=/?price=1709000" TargetMode="External"/><Relationship Id="rId261" Type="http://schemas.openxmlformats.org/officeDocument/2006/relationships/hyperlink" Target="https://www.carmag.co.za/car-price-guide-view/audi-q3-sportback-40tfsi-quattro-s-line/QXVkaSBRMyBTcG9ydGJhY2sgNDBURlNJIHF1YXR0cm8gUyBsaW5l/?price=781500" TargetMode="External"/><Relationship Id="rId499" Type="http://schemas.openxmlformats.org/officeDocument/2006/relationships/hyperlink" Target="https://www.carmag.co.za/car-price-guide-view/porsche-cayenne-gts-coupe/UG9yc2NoZSBDYXllbm5lIEdUUyBDb3Vww6k=/?price=1922000" TargetMode="External"/><Relationship Id="rId14" Type="http://schemas.openxmlformats.org/officeDocument/2006/relationships/hyperlink" Target="https://www.carmag.co.za/car-price-guide-view/suzuki-ignis-1-2-glx-auto/U3V6dWtpIElnbmlzIDEuMiBHTFggYXV0bw==/?price=258900" TargetMode="External"/><Relationship Id="rId56" Type="http://schemas.openxmlformats.org/officeDocument/2006/relationships/hyperlink" Target="https://www.carmag.co.za/car-price-guide-view/renault-duster-1-5dci-zen/UmVuYXVsdCBEdXN0ZXIgMS41ZENpIFplbg==/?price=357999" TargetMode="External"/><Relationship Id="rId317" Type="http://schemas.openxmlformats.org/officeDocument/2006/relationships/hyperlink" Target="https://www.carmag.co.za/car-price-guide-view/volvo-xc60-b5-awd-plus-bright/Vm9sdm8gWEM2MCBCNSBBV0QgUGx1cyBCcmlnaHQ=/?price=1025700" TargetMode="External"/><Relationship Id="rId359" Type="http://schemas.openxmlformats.org/officeDocument/2006/relationships/hyperlink" Target="https://www.carmag.co.za/car-price-guide-view/mercedes-benz-glc300d-coupe-4matic/TWVyY2VkZXMtQmVueiBHTEMzMDBkIENvdXDDqSA0TWF0aWM=/?price=1200313" TargetMode="External"/><Relationship Id="rId524" Type="http://schemas.openxmlformats.org/officeDocument/2006/relationships/hyperlink" Target="https://www.carmag.co.za/car-price-guide-view/bmw-x6-m50d/Qk1XIFg2IE01MGQ=/?price=2104573" TargetMode="External"/><Relationship Id="rId566" Type="http://schemas.openxmlformats.org/officeDocument/2006/relationships/hyperlink" Target="https://www.carmag.co.za/car-price-guide-view/land-rover-range-rover-p530-hse/TGFuZCBSb3ZlciBSYW5nZSBSb3ZlciBQNTMwIEhTRQ==/?price=3148600" TargetMode="External"/><Relationship Id="rId98" Type="http://schemas.openxmlformats.org/officeDocument/2006/relationships/hyperlink" Target="https://www.carmag.co.za/car-price-guide-view/suzuki-vitara-1-6-glx-allgrip/U3V6dWtpIFZpdGFyYSAxLjYgR0xYIEFsbEdyaXA=/?price=438900" TargetMode="External"/><Relationship Id="rId121" Type="http://schemas.openxmlformats.org/officeDocument/2006/relationships/hyperlink" Target="https://www.carmag.co.za/car-price-guide-view/suzuki-vitara-1-4t-glx-auto/U3V6dWtpIFZpdGFyYSAxLjRUIEdMWCBhdXRv/?price=469900" TargetMode="External"/><Relationship Id="rId163" Type="http://schemas.openxmlformats.org/officeDocument/2006/relationships/hyperlink" Target="https://www.carmag.co.za/car-price-guide-view/kia-sportage-1-6t-gdi-lx/S2lhIFNwb3J0YWdlIDEuNlQtR0RpIExY/?price=554995" TargetMode="External"/><Relationship Id="rId219" Type="http://schemas.openxmlformats.org/officeDocument/2006/relationships/hyperlink" Target="https://www.carmag.co.za/car-price-guide-view/volkswagen-t-roc-2-0tsi-140kw-4motion-r-line/Vm9sa3N3YWdlbiBULVJvYyAyLjBUU0kgMTQwa1cgNE1vdGlvbiBSLUxpbmU=/?price=670300" TargetMode="External"/><Relationship Id="rId370" Type="http://schemas.openxmlformats.org/officeDocument/2006/relationships/hyperlink" Target="https://www.carmag.co.za/car-price-guide-view/mercedes-benz-glc300-coupe-4matic/TWVyY2VkZXMtQmVueiBHTEMzMDAgQ291cMOpIDRNYXRpYw==/?price=1239035" TargetMode="External"/><Relationship Id="rId426" Type="http://schemas.openxmlformats.org/officeDocument/2006/relationships/hyperlink" Target="https://www.carmag.co.za/car-price-guide-view/land-rover-range-rover-evoque-p300e-r-dynamic-hse/TGFuZCBSb3ZlciBSYW5nZSBSb3ZlciBFdm9xdWUgUDMwMGUgUi1EeW5hbWljIEhTRQ==/?price=1542000" TargetMode="External"/><Relationship Id="rId230" Type="http://schemas.openxmlformats.org/officeDocument/2006/relationships/hyperlink" Target="https://www.carmag.co.za/car-price-guide-view/subaru-forester-2-5i-s-es/U3ViYXJ1IEZvcmVzdGVyIDIuNWktUyBFUw==/?price=708000" TargetMode="External"/><Relationship Id="rId468" Type="http://schemas.openxmlformats.org/officeDocument/2006/relationships/hyperlink" Target="https://www.carmag.co.za/car-price-guide-view/land-rover-defender-130-d300-first-edition/TGFuZCBSb3ZlciBEZWZlbmRlciAxMzAgRDMwMCBGaXJzdCBFZGl0aW9u/?price=1758600" TargetMode="External"/><Relationship Id="rId25" Type="http://schemas.openxmlformats.org/officeDocument/2006/relationships/hyperlink" Target="https://www.carmag.co.za/car-price-guide-view/hyundai-venue-1-2-motion/SHl1bmRhaSBWZW51ZSAxLjIgTW90aW9u/?price=299900" TargetMode="External"/><Relationship Id="rId67" Type="http://schemas.openxmlformats.org/officeDocument/2006/relationships/hyperlink" Target="https://www.carmag.co.za/car-price-guide-view/haval-jolion-1-5t-premium/SGF2YWwgSm9saW9uIDEuNVQgUHJlbWl1bQ==/?price=384950" TargetMode="External"/><Relationship Id="rId272" Type="http://schemas.openxmlformats.org/officeDocument/2006/relationships/hyperlink" Target="https://www.carmag.co.za/car-price-guide-view/alfa-romeo-tonale-1-5t-hybrid-speciale/QWxmYSBSb21lbyBUb25hbGUgMS41VCBIeWJyaWQgU3BlY2lhbGU=/?price=799900" TargetMode="External"/><Relationship Id="rId328" Type="http://schemas.openxmlformats.org/officeDocument/2006/relationships/hyperlink" Target="https://www.carmag.co.za/car-price-guide-view/audi-q5-sportback-40tdi-quattro-s-line/QXVkaSBRNSBTcG9ydGJhY2sgNDBUREkgcXVhdHRybyBTIGxpbmU=/?price=1077700" TargetMode="External"/><Relationship Id="rId535" Type="http://schemas.openxmlformats.org/officeDocument/2006/relationships/hyperlink" Target="https://www.carmag.co.za/car-price-guide-view/bmw-ix-xdrive50/Qk1XIGlYIHhEcml2ZTUw/?price=2270000" TargetMode="External"/><Relationship Id="rId577" Type="http://schemas.openxmlformats.org/officeDocument/2006/relationships/hyperlink" Target="https://www.carmag.co.za/car-price-guide-view/land-rover-range-rover-d350-first-edition/TGFuZCBSb3ZlciBSYW5nZSBSb3ZlciBEMzUwIEZpcnN0IEVkaXRpb24=/?price=3556600" TargetMode="External"/><Relationship Id="rId132" Type="http://schemas.openxmlformats.org/officeDocument/2006/relationships/hyperlink" Target="https://www.carmag.co.za/car-price-guide-view/volkswagen-taigo-1-0tsi-style/Vm9sa3N3YWdlbiBUYWlnbyAxLjBUU0kgU3R5bGU=/?price=489900" TargetMode="External"/><Relationship Id="rId174" Type="http://schemas.openxmlformats.org/officeDocument/2006/relationships/hyperlink" Target="https://www.carmag.co.za/car-price-guide-view/mazda-cx-30-2-0-individual/TWF6ZGEgQ1gtMzAgMi4wIEluZGl2aWR1YWw=/?price=573100" TargetMode="External"/><Relationship Id="rId381" Type="http://schemas.openxmlformats.org/officeDocument/2006/relationships/hyperlink" Target="https://www.carmag.co.za/car-price-guide-view/volvo-c40-p8-recharge-twin-awd-ultimate/Vm9sdm8gQzQwIFA4IFJlY2hhcmdlIFR3aW4gQVdEIFVsdGltYXRl/?price=1295000" TargetMode="External"/><Relationship Id="rId241" Type="http://schemas.openxmlformats.org/officeDocument/2006/relationships/hyperlink" Target="https://www.carmag.co.za/car-price-guide-view/hyundai-tucson-2-0d-elite/SHl1bmRhaSBUdWNzb24gMi4wRCBFbGl0ZQ==/?price=734900" TargetMode="External"/><Relationship Id="rId437" Type="http://schemas.openxmlformats.org/officeDocument/2006/relationships/hyperlink" Target="https://www.carmag.co.za/car-price-guide-view/land-rover-discovery-d300-s/TGFuZCBSb3ZlciBEaXNjb3ZlcnkgRDMwMCBT/?price=1617900" TargetMode="External"/><Relationship Id="rId479" Type="http://schemas.openxmlformats.org/officeDocument/2006/relationships/hyperlink" Target="https://www.carmag.co.za/car-price-guide-view/land-rover-defender-110-d300-75-years-75th-limited-edition/TGFuZCBSb3ZlciBEZWZlbmRlciAxMTAgRDMwMCA3NSBZZWFycyAvIDc1dGggTGltaXRlZCBFZGl0aW9u/?price=1801600" TargetMode="External"/><Relationship Id="rId36" Type="http://schemas.openxmlformats.org/officeDocument/2006/relationships/hyperlink" Target="https://www.carmag.co.za/car-price-guide-view/nissan-magnite-1-0-turbo-acenta-auto/Tmlzc2FuIE1hZ25pdGUgMS4wIFR1cmJvIEFjZW50YSBhdXRv/?price=324000" TargetMode="External"/><Relationship Id="rId283" Type="http://schemas.openxmlformats.org/officeDocument/2006/relationships/hyperlink" Target="https://www.carmag.co.za/car-price-guide-view/volkswagen-tiguan-allspace-2-0tsi-162kw-4motion-r-line/Vm9sa3N3YWdlbiBUaWd1YW4gQWxsc3BhY2UgMi4wVFNJIDE2MmtXIDRNb3Rpb24gUi1MaW5l/?price=838300" TargetMode="External"/><Relationship Id="rId339" Type="http://schemas.openxmlformats.org/officeDocument/2006/relationships/hyperlink" Target="https://www.carmag.co.za/car-price-guide-view/mercedes-benz-glc220d-4matic/TWVyY2VkZXMtQmVueiBHTEMyMjBkIDRNYXRpYw==/?price=1124312" TargetMode="External"/><Relationship Id="rId490" Type="http://schemas.openxmlformats.org/officeDocument/2006/relationships/hyperlink" Target="https://www.carmag.co.za/car-price-guide-view/land-rover-discovery-p360-r-dynamic-hse/TGFuZCBSb3ZlciBEaXNjb3ZlcnkgUDM2MCBSLUR5bmFtaWMgSFNF/?price=1861700" TargetMode="External"/><Relationship Id="rId504" Type="http://schemas.openxmlformats.org/officeDocument/2006/relationships/hyperlink" Target="https://www.carmag.co.za/car-price-guide-view/porsche-cayenne-e-hybrid/UG9yc2NoZSBDYXllbm5lIGUtaHlicmlk/?price=1949000" TargetMode="External"/><Relationship Id="rId546" Type="http://schemas.openxmlformats.org/officeDocument/2006/relationships/hyperlink" Target="https://www.carmag.co.za/car-price-guide-view/mercedes-benz-gls580-4matic-amg-line/TWVyY2VkZXMtQmVueiBHTFM1ODAgNE1hdGljIEFNRyBMaW5l/?price=2435652" TargetMode="External"/><Relationship Id="rId78" Type="http://schemas.openxmlformats.org/officeDocument/2006/relationships/hyperlink" Target="https://www.carmag.co.za/car-price-guide-view/hyundai-venue-1-0t-motion-auto/SHl1bmRhaSBWZW51ZSAxLjBUIE1vdGlvbiBhdXRv/?price=402900" TargetMode="External"/><Relationship Id="rId101" Type="http://schemas.openxmlformats.org/officeDocument/2006/relationships/hyperlink" Target="https://www.carmag.co.za/car-price-guide-view/suzuki-vitara-1-4t-glx/U3V6dWtpIFZpdGFyYSAxLjRUIEdMWA==/?price=445900" TargetMode="External"/><Relationship Id="rId143" Type="http://schemas.openxmlformats.org/officeDocument/2006/relationships/hyperlink" Target="https://www.carmag.co.za/car-price-guide-view/volkswagen-t-cross-1-5tsi-110kw-r-line/Vm9sa3N3YWdlbiBULUNyb3NzIDEuNVRTSSAxMTBrVyBSLUxpbmU=/?price=518800" TargetMode="External"/><Relationship Id="rId185" Type="http://schemas.openxmlformats.org/officeDocument/2006/relationships/hyperlink" Target="https://www.carmag.co.za/car-price-guide-view/haval-h6-2-0gdit-4wd-super-luxury/SGF2YWwgSDYgMi4wR0RJVCA0V0QgU3VwZXIgTHV4dXJ5/?price=589950" TargetMode="External"/><Relationship Id="rId350" Type="http://schemas.openxmlformats.org/officeDocument/2006/relationships/hyperlink" Target="https://www.carmag.co.za/car-price-guide-view/land-rover-discovery-sport-d200-r-dynamic-hse/TGFuZCBSb3ZlciBEaXNjb3ZlcnkgU3BvcnQgRDIwMCBSLUR5bmFtaWMgSFNF/?price=1154500" TargetMode="External"/><Relationship Id="rId406" Type="http://schemas.openxmlformats.org/officeDocument/2006/relationships/hyperlink" Target="https://www.carmag.co.za/car-price-guide-view/land-rover-defender-110-d240-x-dynamic-se/TGFuZCBSb3ZlciBEZWZlbmRlciAxMTAgRDI0MCBYLUR5bmFtaWMgU0U=/?price=1449500" TargetMode="External"/><Relationship Id="rId588" Type="http://schemas.openxmlformats.org/officeDocument/2006/relationships/hyperlink" Target="https://www.carmag.co.za/car-price-guide-view/land-rover-range-rover-d350-sv/TGFuZCBSb3ZlciBSYW5nZSBSb3ZlciBEMzUwIFNW/?price=3992600" TargetMode="External"/><Relationship Id="rId9" Type="http://schemas.openxmlformats.org/officeDocument/2006/relationships/hyperlink" Target="https://www.carmag.co.za/car-price-guide-view/renault-kiger-1-0-zen/UmVuYXVsdCBLaWdlciAxLjAgWmVu/?price=234999" TargetMode="External"/><Relationship Id="rId210" Type="http://schemas.openxmlformats.org/officeDocument/2006/relationships/hyperlink" Target="https://www.carmag.co.za/car-price-guide-view/toyota-fortuner-2-4gd-6/VG95b3RhIEZvcnR1bmVyIDIuNEdELTY=/?price=653450" TargetMode="External"/><Relationship Id="rId392" Type="http://schemas.openxmlformats.org/officeDocument/2006/relationships/hyperlink" Target="https://www.carmag.co.za/car-price-guide-view/porsche-macan-s/UG9yc2NoZSBNYWNhbiBT/?price=1337000" TargetMode="External"/><Relationship Id="rId448" Type="http://schemas.openxmlformats.org/officeDocument/2006/relationships/hyperlink" Target="https://www.carmag.co.za/car-price-guide-view/bmw-x5-xdrive45e-m-sport/Qk1XIFg1IHhEcml2ZTQ1ZSBNIFNwb3J0/?price=1659400" TargetMode="External"/><Relationship Id="rId252" Type="http://schemas.openxmlformats.org/officeDocument/2006/relationships/hyperlink" Target="https://www.carmag.co.za/car-price-guide-view/toyota-rav4-2-5-vx-awd/VG95b3RhIFJBVjQgMi41IFZYIEFXRA==/?price=763100" TargetMode="External"/><Relationship Id="rId294" Type="http://schemas.openxmlformats.org/officeDocument/2006/relationships/hyperlink" Target="https://www.carmag.co.za/car-price-guide-view/lexus-nx-250-awd-ex/TGV4dXMgTlggMjUwIEFXRCBFWA==/?price=912400" TargetMode="External"/><Relationship Id="rId308" Type="http://schemas.openxmlformats.org/officeDocument/2006/relationships/hyperlink" Target="https://www.carmag.co.za/car-price-guide-view/audi-q5-40tdi-quattro-s-line/QXVkaSBRNSA0MFRESSBxdWF0dHJvIFMgbGluZQ==/?price=989700" TargetMode="External"/><Relationship Id="rId515" Type="http://schemas.openxmlformats.org/officeDocument/2006/relationships/hyperlink" Target="https://www.carmag.co.za/car-price-guide-view/land-rover-range-rover-sport-p400-dynamic-s/TGFuZCBSb3ZlciBSYW5nZSBSb3ZlciBTcG9ydCBQNDAwIER5bmFtaWMgUw==/?price=2023600" TargetMode="External"/><Relationship Id="rId47" Type="http://schemas.openxmlformats.org/officeDocument/2006/relationships/hyperlink" Target="https://www.carmag.co.za/car-price-guide-view/haval-jolion-1-5t-city/SGF2YWwgSm9saW9uIDEuNVQgQ2l0eQ==/?price=342950" TargetMode="External"/><Relationship Id="rId89" Type="http://schemas.openxmlformats.org/officeDocument/2006/relationships/hyperlink" Target="https://www.carmag.co.za/car-price-guide-view/baic-beijing-x55-1-5t-elite/QkFJQyBCZWlqaW5nIFg1NSAxLjVUIEVsaXRl/?price=424900" TargetMode="External"/><Relationship Id="rId112" Type="http://schemas.openxmlformats.org/officeDocument/2006/relationships/hyperlink" Target="https://www.carmag.co.za/car-price-guide-view/honda-br-v-1-5-elegance/SG9uZGEgQlItViAxLjUgRWxlZ2FuY2U=/?price=459900" TargetMode="External"/><Relationship Id="rId154" Type="http://schemas.openxmlformats.org/officeDocument/2006/relationships/hyperlink" Target="https://www.carmag.co.za/car-price-guide-view/proton-x50-1-5t-executive/UHJvdG9uIFg1MCAxLjVUIEV4ZWN1dGl2ZQ==/?price=535900" TargetMode="External"/><Relationship Id="rId361" Type="http://schemas.openxmlformats.org/officeDocument/2006/relationships/hyperlink" Target="https://www.carmag.co.za/car-price-guide-view/alfa-romeo-stelvio-2-0t-veloce-q4/QWxmYSBSb21lbyBTdGVsdmlvIDIuMFQgVmVsb2NlIFE0/?price=1204900" TargetMode="External"/><Relationship Id="rId557" Type="http://schemas.openxmlformats.org/officeDocument/2006/relationships/hyperlink" Target="https://www.carmag.co.za/car-price-guide-view/land-rover-range-rover-sport-p510e-first-edition/TGFuZCBSb3ZlciBSYW5nZSBSb3ZlciBTcG9ydCBQNTEwZSBGaXJzdCBFZGl0aW9u/?price=2810100" TargetMode="External"/><Relationship Id="rId599" Type="http://schemas.openxmlformats.org/officeDocument/2006/relationships/hyperlink" Target="https://www.carmag.co.za/car-price-guide-view/bentley-bentayga-ewb-azure/QmVudGxleSBCZW50YXlnYSBFV0IgQXp1cmU=/?price=5770000" TargetMode="External"/><Relationship Id="rId196" Type="http://schemas.openxmlformats.org/officeDocument/2006/relationships/hyperlink" Target="https://www.carmag.co.za/car-price-guide-view/opel-grandland-x-1-6t-edition/T3BlbCBHcmFuZGxhbmQgWCAxLjZUIEVkaXRpb24=/?price=619900" TargetMode="External"/><Relationship Id="rId417" Type="http://schemas.openxmlformats.org/officeDocument/2006/relationships/hyperlink" Target="https://www.carmag.co.za/car-price-guide-view/land-rover-defender-110-d240-x-dynamic-hse/TGFuZCBSb3ZlciBEZWZlbmRlciAxMTAgRDI0MCBYLUR5bmFtaWMgSFNF/?price=1511500" TargetMode="External"/><Relationship Id="rId459" Type="http://schemas.openxmlformats.org/officeDocument/2006/relationships/hyperlink" Target="https://www.carmag.co.za/car-price-guide-view/jeep-grand-cherokee-l-3-6-4x4-summit-reserve/SmVlcCBHcmFuZCBDaGVyb2tlZSBMIDMuNiA0eDQgU3VtbWl0IFJlc2VydmU=/?price=1724900" TargetMode="External"/><Relationship Id="rId16" Type="http://schemas.openxmlformats.org/officeDocument/2006/relationships/hyperlink" Target="https://www.carmag.co.za/car-price-guide-view/suzuki-vitara-brezza-1-5-gl/U3V6dWtpIFZpdGFyYSBCcmV6emEgMS41IEdM/?price=262900" TargetMode="External"/><Relationship Id="rId221" Type="http://schemas.openxmlformats.org/officeDocument/2006/relationships/hyperlink" Target="https://www.carmag.co.za/car-price-guide-view/toyota-rav4-2-0-vx/VG95b3RhIFJBVjQgMi4wIFZY/?price=671600" TargetMode="External"/><Relationship Id="rId263" Type="http://schemas.openxmlformats.org/officeDocument/2006/relationships/hyperlink" Target="https://www.carmag.co.za/car-price-guide-view/toyota-rav4-2-5-hybrid-vx-e-four/VG95b3RhIFJBVjQgMi41IEh5YnJpZCBWWCBFLUZvdXI=/?price=785400" TargetMode="External"/><Relationship Id="rId319" Type="http://schemas.openxmlformats.org/officeDocument/2006/relationships/hyperlink" Target="https://www.carmag.co.za/car-price-guide-view/audi-q5-sportback-40tdi-quattro-advanced/QXVkaSBRNSBTcG9ydGJhY2sgNDBUREkgcXVhdHRybyBBZHZhbmNlZA==/?price=1038700" TargetMode="External"/><Relationship Id="rId470" Type="http://schemas.openxmlformats.org/officeDocument/2006/relationships/hyperlink" Target="https://www.carmag.co.za/car-price-guide-view/land-rover-defender-90-d300-x/TGFuZCBSb3ZlciBEZWZlbmRlciA5MCBEMzAwIFg=/?price=1761600" TargetMode="External"/><Relationship Id="rId526" Type="http://schemas.openxmlformats.org/officeDocument/2006/relationships/hyperlink" Target="https://www.carmag.co.za/car-price-guide-view/bmw-x6-m50i/Qk1XIFg2IE01MGk=/?price=2115502" TargetMode="External"/><Relationship Id="rId58" Type="http://schemas.openxmlformats.org/officeDocument/2006/relationships/hyperlink" Target="https://www.carmag.co.za/car-price-guide-view/hyundai-venue-1-0t-motion/SHl1bmRhaSBWZW51ZSAxLjBUIE1vdGlvbg==/?price=362900" TargetMode="External"/><Relationship Id="rId123" Type="http://schemas.openxmlformats.org/officeDocument/2006/relationships/hyperlink" Target="https://www.carmag.co.za/car-price-guide-view/mahindra-xuv700-2-0t-ax5/TWFoaW5kcmEgWFVWNzAwIDIuMFQgQVg1/?price=474999" TargetMode="External"/><Relationship Id="rId330" Type="http://schemas.openxmlformats.org/officeDocument/2006/relationships/hyperlink" Target="https://www.carmag.co.za/car-price-guide-view/jaguar-e-pace-d200-awd-r-dynamic-se/SmFndWFyIEUtUGFjZSBEMjAwIEFXRCBSLUR5bmFtaWMgU0U=/?price=1087000" TargetMode="External"/><Relationship Id="rId568" Type="http://schemas.openxmlformats.org/officeDocument/2006/relationships/hyperlink" Target="https://www.carmag.co.za/car-price-guide-view/mercedes-amg-gle63-s-4matic/TWVyY2VkZXMtQU1HIEdMRTYzIFMgNE1hdGljKw==/?price=3337137" TargetMode="External"/><Relationship Id="rId165" Type="http://schemas.openxmlformats.org/officeDocument/2006/relationships/hyperlink" Target="https://www.carmag.co.za/car-price-guide-view/mitsubishi-eclipse-cross-1-5t-gls-exceed/TWl0c3ViaXNoaSBFY2xpcHNlIENyb3NzIDEuNVQgR0xTIEV4Y2VlZA==/?price=560000" TargetMode="External"/><Relationship Id="rId372" Type="http://schemas.openxmlformats.org/officeDocument/2006/relationships/hyperlink" Target="https://www.carmag.co.za/car-price-guide-view/mercedes-benz-glc300d-coupe-4matic-amg-line/TWVyY2VkZXMtQmVueiBHTEMzMDBkIENvdXDDqSA0TWF0aWMgQU1HIExpbmU=/?price=1254213" TargetMode="External"/><Relationship Id="rId428" Type="http://schemas.openxmlformats.org/officeDocument/2006/relationships/hyperlink" Target="https://www.carmag.co.za/car-price-guide-view/bmw-x4-m40i/Qk1XIFg0IE00MGk=/?price=1558146" TargetMode="External"/><Relationship Id="rId232" Type="http://schemas.openxmlformats.org/officeDocument/2006/relationships/hyperlink" Target="https://www.carmag.co.za/car-price-guide-view/toyota-fortuner-2-4gd-6-4x4/VG95b3RhIEZvcnR1bmVyIDIuNEdELTYgNHg0/?price=709750" TargetMode="External"/><Relationship Id="rId274" Type="http://schemas.openxmlformats.org/officeDocument/2006/relationships/hyperlink" Target="https://www.carmag.co.za/car-price-guide-view/lexus-ux-250h-ex/TGV4dXMgVVggMjUwaCBFWA==/?price=808600" TargetMode="External"/><Relationship Id="rId481" Type="http://schemas.openxmlformats.org/officeDocument/2006/relationships/hyperlink" Target="https://www.carmag.co.za/car-price-guide-view/land-rover-range-rover-velar-d300-dynamic-hse/TGFuZCBSb3ZlciBSYW5nZSBSb3ZlciBWZWxhciBEMzAwIER5bmFtaWMgSFNF/?price=1809000" TargetMode="External"/><Relationship Id="rId27" Type="http://schemas.openxmlformats.org/officeDocument/2006/relationships/hyperlink" Target="https://www.carmag.co.za/car-price-guide-view/toyota-urban-cruiser-1-5-xs/VG95b3RhIFVyYmFuIENydWlzZXIgMS41IFhT/?price=303100" TargetMode="External"/><Relationship Id="rId69" Type="http://schemas.openxmlformats.org/officeDocument/2006/relationships/hyperlink" Target="https://www.carmag.co.za/car-price-guide-view/mahindra-scorpio-2-2crde-s11/TWFoaW5kcmEgU2NvcnBpbyAyLjJDUkRlIFMxMQ==/?price=389999" TargetMode="External"/><Relationship Id="rId134" Type="http://schemas.openxmlformats.org/officeDocument/2006/relationships/hyperlink" Target="https://www.carmag.co.za/car-price-guide-view/toyota-corolla-cross-1-8-hybrid-gr-sport/VG95b3RhIENvcm9sbGEgQ3Jvc3MgMS44IEh5YnJpZCBHUi1TcG9ydA==/?price=495200" TargetMode="External"/><Relationship Id="rId537" Type="http://schemas.openxmlformats.org/officeDocument/2006/relationships/hyperlink" Target="https://www.carmag.co.za/car-price-guide-view/mercedes-amg-glc63-s-coupe-4matic/TWVyY2VkZXMtQU1HIEdMQzYzIFMgQ291cMOpIDRNYXRpYys=/?price=2290522" TargetMode="External"/><Relationship Id="rId579" Type="http://schemas.openxmlformats.org/officeDocument/2006/relationships/hyperlink" Target="https://www.carmag.co.za/car-price-guide-view/land-rover-range-rover-p530-autobiography/TGFuZCBSb3ZlciBSYW5nZSBSb3ZlciBQNTMwIEF1dG9iaW9ncmFwaHk=/?price=3610600" TargetMode="External"/><Relationship Id="rId80" Type="http://schemas.openxmlformats.org/officeDocument/2006/relationships/hyperlink" Target="https://www.carmag.co.za/car-price-guide-view/honda-br-v-1-5-comfort/SG9uZGEgQlItViAxLjUgQ29tZm9ydA==/?price=409900" TargetMode="External"/><Relationship Id="rId176" Type="http://schemas.openxmlformats.org/officeDocument/2006/relationships/hyperlink" Target="https://www.carmag.co.za/car-price-guide-view/toyota-c-hr-1-2t-luxury/VG95b3RhIEMtSFIgMS4yVCBMdXh1cnk=/?price=576900" TargetMode="External"/><Relationship Id="rId341" Type="http://schemas.openxmlformats.org/officeDocument/2006/relationships/hyperlink" Target="https://www.carmag.co.za/car-price-guide-view/land-rover-range-rover-evoque-d200-bronze-collection/TGFuZCBSb3ZlciBSYW5nZSBSb3ZlciBFdm9xdWUgRDIwMCBCcm9uemUgQ29sbGVjdGlvbg==/?price=1126400" TargetMode="External"/><Relationship Id="rId383" Type="http://schemas.openxmlformats.org/officeDocument/2006/relationships/hyperlink" Target="https://www.carmag.co.za/car-price-guide-view/bmw-x3-xdrive30d-m-sport/Qk1XIFgzIHhEcml2ZTMwZCBNIFNwb3J0/?price=1296840" TargetMode="External"/><Relationship Id="rId439" Type="http://schemas.openxmlformats.org/officeDocument/2006/relationships/hyperlink" Target="https://www.carmag.co.za/car-price-guide-view/volkswagen-touareg-v6-tdi-executive-r-line/Vm9sa3N3YWdlbiBUb3VhcmVnIFY2IFRESSBFeGVjdXRpdmUgUi1MaW5l/?price=1622800" TargetMode="External"/><Relationship Id="rId590" Type="http://schemas.openxmlformats.org/officeDocument/2006/relationships/hyperlink" Target="https://www.carmag.co.za/car-price-guide-view/land-rover-range-rover-p510e-sv/TGFuZCBSb3ZlciBSYW5nZSBSb3ZlciBQNTEwZSBTVg==/?price=4085300" TargetMode="External"/><Relationship Id="rId201" Type="http://schemas.openxmlformats.org/officeDocument/2006/relationships/hyperlink" Target="https://www.carmag.co.za/car-price-guide-view/renault-koleos-2-5-dynamique-4wd/UmVuYXVsdCBLb2xlb3MgMi41IER5bmFtaXF1ZSA0V0Q=/?price=634999" TargetMode="External"/><Relationship Id="rId243" Type="http://schemas.openxmlformats.org/officeDocument/2006/relationships/hyperlink" Target="https://www.carmag.co.za/car-price-guide-view/honda-cr-v-1-5t-executive/SG9uZGEgQ1ItViAxLjVUIEV4ZWN1dGl2ZQ==/?price=737700" TargetMode="External"/><Relationship Id="rId285" Type="http://schemas.openxmlformats.org/officeDocument/2006/relationships/hyperlink" Target="https://www.carmag.co.za/car-price-guide-view/mercedes-benz-gla200-progressive/TWVyY2VkZXMtQmVueiBHTEEyMDAgUHJvZ3Jlc3NpdmU=/?price=847226" TargetMode="External"/><Relationship Id="rId450" Type="http://schemas.openxmlformats.org/officeDocument/2006/relationships/hyperlink" Target="https://www.carmag.co.za/car-price-guide-view/audi-q8-45tdi-quattro/QXVkaSBROCA0NVRESSBxdWF0dHJv/?price=1672700" TargetMode="External"/><Relationship Id="rId506" Type="http://schemas.openxmlformats.org/officeDocument/2006/relationships/hyperlink" Target="https://www.carmag.co.za/car-price-guide-view/maserati-grecale-modena/TWFzZXJhdGkgR3JlY2FsZSBNb2RlbmE=/?price=1950000" TargetMode="External"/><Relationship Id="rId38" Type="http://schemas.openxmlformats.org/officeDocument/2006/relationships/hyperlink" Target="https://www.carmag.co.za/car-price-guide-view/toyota-urban-cruiser-1-5-xs-auto/VG95b3RhIFVyYmFuIENydWlzZXIgMS41IFhTIGF1dG8=/?price=327100" TargetMode="External"/><Relationship Id="rId103" Type="http://schemas.openxmlformats.org/officeDocument/2006/relationships/hyperlink" Target="https://www.carmag.co.za/car-price-guide-view/haval-jolion-1-5t-super-luxury/SGF2YWwgSm9saW9uIDEuNVQgU3VwZXIgTHV4dXJ5/?price=446950" TargetMode="External"/><Relationship Id="rId310" Type="http://schemas.openxmlformats.org/officeDocument/2006/relationships/hyperlink" Target="https://www.carmag.co.za/car-price-guide-view/mercedes-benz-glb220d-4matic-progressive/TWVyY2VkZXMtQmVueiBHTEIyMjBkIDRNYXRpYyBQcm9ncmVzc2l2ZQ==/?price=998388" TargetMode="External"/><Relationship Id="rId492" Type="http://schemas.openxmlformats.org/officeDocument/2006/relationships/hyperlink" Target="https://www.carmag.co.za/car-price-guide-view/land-rover-defender-110-p400e-x-dynamic-hse/TGFuZCBSb3ZlciBEZWZlbmRlciAxMTAgUDQwMGUgWC1EeW5hbWljIEhTRQ==/?price=1874300" TargetMode="External"/><Relationship Id="rId548" Type="http://schemas.openxmlformats.org/officeDocument/2006/relationships/hyperlink" Target="https://www.carmag.co.za/car-price-guide-view/maserati-grecale-trofeo/TWFzZXJhdGkgR3JlY2FsZSBUcm9mZW8=/?price=2550000" TargetMode="External"/><Relationship Id="rId91" Type="http://schemas.openxmlformats.org/officeDocument/2006/relationships/hyperlink" Target="https://www.carmag.co.za/car-price-guide-view/kia-seltos-1-6-ex/S2lhIFNlbHRvcyAxLjYgRVg=/?price=427995" TargetMode="External"/><Relationship Id="rId145" Type="http://schemas.openxmlformats.org/officeDocument/2006/relationships/hyperlink" Target="https://www.carmag.co.za/car-price-guide-view/mitsubishi-eclipse-cross-1-5t-gls/TWl0c3ViaXNoaSBFY2xpcHNlIENyb3NzIDEuNVQgR0xT/?price=519990" TargetMode="External"/><Relationship Id="rId187" Type="http://schemas.openxmlformats.org/officeDocument/2006/relationships/hyperlink" Target="https://www.carmag.co.za/car-price-guide-view/mahindra-scorpio-n-2-2d-z8l-4xplor/TWFoaW5kcmEgU2NvcnBpby1OIDIuMkQgWjhMIDRYUGxvcg==/?price=590000" TargetMode="External"/><Relationship Id="rId352" Type="http://schemas.openxmlformats.org/officeDocument/2006/relationships/hyperlink" Target="https://www.carmag.co.za/car-price-guide-view/mercedes-benz-glc220d-coupe-4matic/TWVyY2VkZXMtQmVueiBHTEMyMjBkIENvdXDDqSA0TWF0aWM=/?price=1156053" TargetMode="External"/><Relationship Id="rId394" Type="http://schemas.openxmlformats.org/officeDocument/2006/relationships/hyperlink" Target="https://www.carmag.co.za/car-price-guide-view/lexus-rx-350-f-sport/TGV4dXMgUlggMzUwIEYgU3BvcnQ=/?price=1349500" TargetMode="External"/><Relationship Id="rId408" Type="http://schemas.openxmlformats.org/officeDocument/2006/relationships/hyperlink" Target="https://www.carmag.co.za/car-price-guide-view/bmw-x3-m40i/Qk1XIFgzIE00MGk=/?price=1468146" TargetMode="External"/><Relationship Id="rId212" Type="http://schemas.openxmlformats.org/officeDocument/2006/relationships/hyperlink" Target="https://www.carmag.co.za/car-price-guide-view/toyota-rav4-2-0-gx-r-awd/VG95b3RhIFJBVjQgMi4wIEdYLVIgQVdE/?price=658500" TargetMode="External"/><Relationship Id="rId254" Type="http://schemas.openxmlformats.org/officeDocument/2006/relationships/hyperlink" Target="https://www.carmag.co.za/car-price-guide-view/mazda-cx-5-2-2de-awd-akera/TWF6ZGEgQ1gtNSAyLjJERSBBV0QgQWtlcmE=/?price=765300" TargetMode="External"/><Relationship Id="rId49" Type="http://schemas.openxmlformats.org/officeDocument/2006/relationships/hyperlink" Target="https://www.carmag.co.za/car-price-guide-view/ford-ecosport-1-5-ambiente-black/Rm9yZCBFY29TcG9ydCAxLjUgQW1iaWVudGUgQmxhY2s=/?price=346710" TargetMode="External"/><Relationship Id="rId114" Type="http://schemas.openxmlformats.org/officeDocument/2006/relationships/hyperlink" Target="https://www.carmag.co.za/car-price-guide-view/hyundai-venue-1-0t-n-line/SHl1bmRhaSBWZW51ZSAxLjBUIE4gTGluZQ==/?price=463900" TargetMode="External"/><Relationship Id="rId296" Type="http://schemas.openxmlformats.org/officeDocument/2006/relationships/hyperlink" Target="https://www.carmag.co.za/car-price-guide-view/toyota-fortuner-2-8gd-6-4x4-vx/VG95b3RhIEZvcnR1bmVyIDIuOEdELTYgNHg0IFZY/?price=915400" TargetMode="External"/><Relationship Id="rId461" Type="http://schemas.openxmlformats.org/officeDocument/2006/relationships/hyperlink" Target="https://www.carmag.co.za/car-price-guide-view/bmw-ix-xdrive40/Qk1XIGlYIHhEcml2ZTQw/?price=1735000" TargetMode="External"/><Relationship Id="rId517" Type="http://schemas.openxmlformats.org/officeDocument/2006/relationships/hyperlink" Target="https://www.carmag.co.za/car-price-guide-view/mercedes-benz-gls400d-4matic/TWVyY2VkZXMtQmVueiBHTFM0MDBkIDRNYXRpYw==/?price=2041243" TargetMode="External"/><Relationship Id="rId559" Type="http://schemas.openxmlformats.org/officeDocument/2006/relationships/hyperlink" Target="https://www.carmag.co.za/car-price-guide-view/maserati-levante-modena/TWFzZXJhdGkgTGV2YW50ZSBNb2RlbmE=/?price=2875000" TargetMode="External"/><Relationship Id="rId60" Type="http://schemas.openxmlformats.org/officeDocument/2006/relationships/hyperlink" Target="https://www.carmag.co.za/car-price-guide-view/ford-ecosport-1-0t-trend-auto/Rm9yZCBFY29TcG9ydCAxLjBUIFRyZW5kIGF1dG8=/?price=375300" TargetMode="External"/><Relationship Id="rId156" Type="http://schemas.openxmlformats.org/officeDocument/2006/relationships/hyperlink" Target="https://www.carmag.co.za/car-price-guide-view/mazda-cx-30-2-0-carbon-edition/TWF6ZGEgQ1gtMzAgMi4wIENhcmJvbiBFZGl0aW9u/?price=540200" TargetMode="External"/><Relationship Id="rId198" Type="http://schemas.openxmlformats.org/officeDocument/2006/relationships/hyperlink" Target="https://www.carmag.co.za/car-price-guide-view/proton-x70-1-5t-executive-awd/UHJvdG9uIFg3MCAxLjVUIEV4ZWN1dGl2ZSBBV0Q=/?price=629900" TargetMode="External"/><Relationship Id="rId321" Type="http://schemas.openxmlformats.org/officeDocument/2006/relationships/hyperlink" Target="https://www.carmag.co.za/car-price-guide-view/jeep-wrangler-3-6-rubicon/SmVlcCBXcmFuZ2xlciAzLjYgUnViaWNvbg==/?price=1049900" TargetMode="External"/><Relationship Id="rId363" Type="http://schemas.openxmlformats.org/officeDocument/2006/relationships/hyperlink" Target="https://www.carmag.co.za/car-price-guide-view/mercedes-benz-glc220d-4matic-amg-line/TWVyY2VkZXMtQmVueiBHTEMyMjBkIDRNYXRpYyBBTUcgTGluZQ==/?price=1206905" TargetMode="External"/><Relationship Id="rId419" Type="http://schemas.openxmlformats.org/officeDocument/2006/relationships/hyperlink" Target="https://www.carmag.co.za/car-price-guide-view/land-rover-range-rover-velar-d200-dynamic-se/TGFuZCBSb3ZlciBSYW5nZSBSb3ZlciBWZWxhciBEMjAwIER5bmFtaWMgU0U=/?price=1519000" TargetMode="External"/><Relationship Id="rId570" Type="http://schemas.openxmlformats.org/officeDocument/2006/relationships/hyperlink" Target="https://www.carmag.co.za/car-price-guide-view/bmw-xm/Qk1XIFhN/?price=3400000" TargetMode="External"/><Relationship Id="rId223" Type="http://schemas.openxmlformats.org/officeDocument/2006/relationships/hyperlink" Target="https://www.carmag.co.za/car-price-guide-view/nissan-x-trail-2-5-4x4-tekna/Tmlzc2FuIFgtVHJhaWwgMi41IDR4NCBUZWtuYQ==/?price=674900" TargetMode="External"/><Relationship Id="rId430" Type="http://schemas.openxmlformats.org/officeDocument/2006/relationships/hyperlink" Target="https://www.carmag.co.za/car-price-guide-view/audi-q7-45tdi-quattro-s-line/QXVkaSBRNyA0NVRESSBxdWF0dHJvIFMgbGluZQ==/?price=1565000" TargetMode="External"/><Relationship Id="rId18" Type="http://schemas.openxmlformats.org/officeDocument/2006/relationships/hyperlink" Target="https://www.carmag.co.za/car-price-guide-view/suzuki-vitara-brezza-1-5-gl-s-edition/U3V6dWtpIFZpdGFyYSBCcmV6emEgMS41IEdMIFMtRWRpdGlvbg==/?price=281900" TargetMode="External"/><Relationship Id="rId265" Type="http://schemas.openxmlformats.org/officeDocument/2006/relationships/hyperlink" Target="https://www.carmag.co.za/car-price-guide-view/bmw-x1-sdrive18d-xline/Qk1XIFgxIHNEcml2ZTE4ZCB4TGluZQ==/?price=790617" TargetMode="External"/><Relationship Id="rId472" Type="http://schemas.openxmlformats.org/officeDocument/2006/relationships/hyperlink" Target="https://www.carmag.co.za/car-price-guide-view/land-rover-defender-90-d300-75-years-75th-limited-edition/TGFuZCBSb3ZlciBEZWZlbmRlciA5MCBEMzAwIDc1IFllYXJzIC8gNzV0aCBMaW1pdGVkIEVkaXRpb24=/?price=1762600" TargetMode="External"/><Relationship Id="rId528" Type="http://schemas.openxmlformats.org/officeDocument/2006/relationships/hyperlink" Target="https://www.carmag.co.za/car-price-guide-view/bmw-x4-m-competition/Qk1XIFg0IE0gY29tcGV0aXRpb24=/?price=2162618" TargetMode="External"/><Relationship Id="rId125" Type="http://schemas.openxmlformats.org/officeDocument/2006/relationships/hyperlink" Target="https://www.carmag.co.za/car-price-guide-view/hyundai-grand-creta-2-0-executive/SHl1bmRhaSBHcmFuZCBDcmV0YSAyLjAgRXhlY3V0aXZl/?price=477900" TargetMode="External"/><Relationship Id="rId167" Type="http://schemas.openxmlformats.org/officeDocument/2006/relationships/hyperlink" Target="https://www.carmag.co.za/car-price-guide-view/opel-grandland-x-1-6t/T3BlbCBHcmFuZGxhbmQgWCAxLjZU/?price=562900" TargetMode="External"/><Relationship Id="rId332" Type="http://schemas.openxmlformats.org/officeDocument/2006/relationships/hyperlink" Target="https://www.carmag.co.za/car-price-guide-view/jeep-wrangler-unlimited-3-6-rubicon/SmVlcCBXcmFuZ2xlciBVbmxpbWl0ZWQgMy42IFJ1Ymljb24=/?price=1099900" TargetMode="External"/><Relationship Id="rId374" Type="http://schemas.openxmlformats.org/officeDocument/2006/relationships/hyperlink" Target="https://www.carmag.co.za/car-price-guide-view/volvo-xc40-p8-recharge-twin-awd-ultimate/Vm9sdm8gWEM0MCBQOCBSZWNoYXJnZSBUd2luIEFXRCBVbHRpbWF0ZQ==/?price=1260000" TargetMode="External"/><Relationship Id="rId581" Type="http://schemas.openxmlformats.org/officeDocument/2006/relationships/hyperlink" Target="https://www.carmag.co.za/car-price-guide-view/land-rover-range-rover-d350-first-edition-l/TGFuZCBSb3ZlciBSYW5nZSBSb3ZlciBEMzUwIEZpcnN0IEVkaXRpb24gTA==/?price=3640600" TargetMode="External"/><Relationship Id="rId71" Type="http://schemas.openxmlformats.org/officeDocument/2006/relationships/hyperlink" Target="https://www.carmag.co.za/car-price-guide-view/volkswagen-t-cross-1-0tsi-70kw-comfortline/Vm9sa3N3YWdlbiBULUNyb3NzIDEuMFRTSSA3MGtXIENvbWZvcnRsaW5l/?price=393400" TargetMode="External"/><Relationship Id="rId234" Type="http://schemas.openxmlformats.org/officeDocument/2006/relationships/hyperlink" Target="https://www.carmag.co.za/car-price-guide-view/volvo-xc40-b4-essential/Vm9sdm8gWEM0MCBCNCBFc3NlbnRpYWw=/?price=718900" TargetMode="External"/><Relationship Id="rId2" Type="http://schemas.openxmlformats.org/officeDocument/2006/relationships/hyperlink" Target="https://www.carmag.co.za/car-price-guide-view/mahindra-kuv100-nxt-1-2-g80-k2-dare/TWFoaW5kcmEgS1VWMTAwIE54dCAxLjIgRzgwIEsyKyAjREFSRQ==/?price=192999" TargetMode="External"/><Relationship Id="rId29" Type="http://schemas.openxmlformats.org/officeDocument/2006/relationships/hyperlink" Target="https://www.carmag.co.za/car-price-guide-view/mahindra-xuv300-1-5td-w6/TWFoaW5kcmEgWFVWMzAwIDEuNVREIFc2/?price=306999" TargetMode="External"/><Relationship Id="rId276" Type="http://schemas.openxmlformats.org/officeDocument/2006/relationships/hyperlink" Target="https://www.carmag.co.za/car-price-guide-view/toyota-fj-cruiser/VG95b3RhIEZKIENydWlzZXI=/?price=813000" TargetMode="External"/><Relationship Id="rId441" Type="http://schemas.openxmlformats.org/officeDocument/2006/relationships/hyperlink" Target="https://www.carmag.co.za/car-price-guide-view/porsche-cayenne-coupe/UG9yc2NoZSBDYXllbm5lIENvdXDDqQ==/?price=1627000" TargetMode="External"/><Relationship Id="rId483" Type="http://schemas.openxmlformats.org/officeDocument/2006/relationships/hyperlink" Target="https://www.carmag.co.za/car-price-guide-view/land-rover-defender-90-p400-75-years-75th-limited-edition/TGFuZCBSb3ZlciBEZWZlbmRlciA5MCBQNDAwIDc1IFllYXJzIC8gNzV0aCBMaW1pdGVkIEVkaXRpb24=/?price=1811700" TargetMode="External"/><Relationship Id="rId539" Type="http://schemas.openxmlformats.org/officeDocument/2006/relationships/hyperlink" Target="https://www.carmag.co.za/car-price-guide-view/bmw-x7-m60i-xdrive/Qk1XIFg3IE02MGkgeERyaXZl/?price=2316574" TargetMode="External"/><Relationship Id="rId40" Type="http://schemas.openxmlformats.org/officeDocument/2006/relationships/hyperlink" Target="https://www.carmag.co.za/car-price-guide-view/renault-kiger-1-0-turbo-intens-auto/UmVuYXVsdCBLaWdlciAxLjAgVHVyYm8gSW50ZW5zIGF1dG8=/?price=329999" TargetMode="External"/><Relationship Id="rId136" Type="http://schemas.openxmlformats.org/officeDocument/2006/relationships/hyperlink" Target="https://www.carmag.co.za/car-price-guide-view/mazda-cx-30-2-0-active/TWF6ZGEgQ1gtMzAgMi4wIEFjdGl2ZQ==/?price=497700" TargetMode="External"/><Relationship Id="rId178" Type="http://schemas.openxmlformats.org/officeDocument/2006/relationships/hyperlink" Target="https://www.carmag.co.za/car-price-guide-view/haval-jolion-1-5-hev-super-luxury/SGF2YWwgSm9saW9uIDEuNSBIRVYgU3VwZXIgTHV4dXJ5/?price=579950" TargetMode="External"/><Relationship Id="rId301" Type="http://schemas.openxmlformats.org/officeDocument/2006/relationships/hyperlink" Target="https://www.carmag.co.za/car-price-guide-view/mini-john-cooper-works-all4-countryman/TUlOSSBKb2huIENvb3BlciBXb3JrcyBBTEw0IENvdW50cnltYW4=/?price=953739" TargetMode="External"/><Relationship Id="rId343" Type="http://schemas.openxmlformats.org/officeDocument/2006/relationships/hyperlink" Target="https://www.carmag.co.za/car-price-guide-view/lexus-nx-350h-awd-f-sport/TGV4dXMgTlggMzUwaCBBV0QgRiBTcG9ydA==/?price=1130400" TargetMode="External"/><Relationship Id="rId550" Type="http://schemas.openxmlformats.org/officeDocument/2006/relationships/hyperlink" Target="https://www.carmag.co.za/car-price-guide-view/land-rover-defender-90-v8-carpathian-edition/TGFuZCBSb3ZlciBEZWZlbmRlciA5MCBWOCBDYXJwYXRoaWFuIEVkaXRpb24=/?price=2628600" TargetMode="External"/><Relationship Id="rId82" Type="http://schemas.openxmlformats.org/officeDocument/2006/relationships/hyperlink" Target="https://www.carmag.co.za/car-price-guide-view/renault-duster-1-5dci-intens/UmVuYXVsdCBEdXN0ZXIgMS41ZENpIEludGVucw==/?price=409999" TargetMode="External"/><Relationship Id="rId203" Type="http://schemas.openxmlformats.org/officeDocument/2006/relationships/hyperlink" Target="https://www.carmag.co.za/car-price-guide-view/nissan-qashqai-1-3t-acenta/Tmlzc2FuIFFhc2hxYWkgMS4zVCBBY2VudGE=/?price=639300" TargetMode="External"/><Relationship Id="rId385" Type="http://schemas.openxmlformats.org/officeDocument/2006/relationships/hyperlink" Target="https://www.carmag.co.za/car-price-guide-view/volvo-xc60-t8-recharge-awd-plus-bright/Vm9sdm8gWEM2MCBUOCBSZWNoYXJnZSBBV0QgUGx1cyBCcmlnaHQ=/?price=1310000" TargetMode="External"/><Relationship Id="rId592" Type="http://schemas.openxmlformats.org/officeDocument/2006/relationships/hyperlink" Target="https://www.carmag.co.za/car-price-guide-view/lamborghini-urus-s/TGFtYm9yZ2hpbmkgVXJ1cyBT/?price=4395000" TargetMode="External"/><Relationship Id="rId245" Type="http://schemas.openxmlformats.org/officeDocument/2006/relationships/hyperlink" Target="https://www.carmag.co.za/car-price-guide-view/audi-q3-40tfsi-quattro-advanced/QXVkaSBRMyA0MFRGU0kgcXVhdHRybyBBZHZhbmNlZA==/?price=741900" TargetMode="External"/><Relationship Id="rId287" Type="http://schemas.openxmlformats.org/officeDocument/2006/relationships/hyperlink" Target="https://www.carmag.co.za/car-price-guide-view/hyundai-santa-fe-2-2d-executive/SHl1bmRhaSBTYW50YSBGZSAyLjJEIEV4ZWN1dGl2ZQ==/?price=856900" TargetMode="External"/><Relationship Id="rId410" Type="http://schemas.openxmlformats.org/officeDocument/2006/relationships/hyperlink" Target="https://www.carmag.co.za/car-price-guide-view/land-rover-defender-110-d240-xs-edition/TGFuZCBSb3ZlciBEZWZlbmRlciAxMTAgRDI0MCBYUyBFZGl0aW9u/?price=1470500" TargetMode="External"/><Relationship Id="rId452" Type="http://schemas.openxmlformats.org/officeDocument/2006/relationships/hyperlink" Target="https://www.carmag.co.za/car-price-guide-view/nissan-patrol-5-6-v8-le-4wd/Tmlzc2FuIFBhdHJvbCA1LjYgVjggTEUgNFdE/?price=1683900" TargetMode="External"/><Relationship Id="rId494" Type="http://schemas.openxmlformats.org/officeDocument/2006/relationships/hyperlink" Target="https://www.carmag.co.za/car-price-guide-view/toyota-land-cruiser-300-3-3d-zx/VG95b3RhIExhbmQgQ3J1aXNlciAzMDAgMy4zRCBaWA==/?price=1892000" TargetMode="External"/><Relationship Id="rId508" Type="http://schemas.openxmlformats.org/officeDocument/2006/relationships/hyperlink" Target="https://www.carmag.co.za/car-price-guide-view/land-rover-defender-130-p400-x/TGFuZCBSb3ZlciBEZWZlbmRlciAxMzAgUDQwMCBY/?price=1974500" TargetMode="External"/><Relationship Id="rId105" Type="http://schemas.openxmlformats.org/officeDocument/2006/relationships/hyperlink" Target="https://www.carmag.co.za/car-price-guide-view/proton-x50-1-5t-standard/UHJvdG9uIFg1MCAxLjVUIFN0YW5kYXJk/?price=449900" TargetMode="External"/><Relationship Id="rId147" Type="http://schemas.openxmlformats.org/officeDocument/2006/relationships/hyperlink" Target="https://www.carmag.co.za/car-price-guide-view/kia-seltos-1-4t-gdi-gt-line/S2lhIFNlbHRvcyAxLjRULUdESSBHVCBMaW5l/?price=523995" TargetMode="External"/><Relationship Id="rId312" Type="http://schemas.openxmlformats.org/officeDocument/2006/relationships/hyperlink" Target="https://www.carmag.co.za/car-price-guide-view/jeep-wrangler-unlimited-3-6-sport/SmVlcCBXcmFuZ2xlciBVbmxpbWl0ZWQgMy42IFNwb3J0/?price=999900" TargetMode="External"/><Relationship Id="rId354" Type="http://schemas.openxmlformats.org/officeDocument/2006/relationships/hyperlink" Target="https://www.carmag.co.za/car-price-guide-view/mercedes-benz-eqa-250-progressive/TWVyY2VkZXMtQmVueiBFUUEgMjUwIFByb2dyZXNzaXZl/?price=1174000" TargetMode="External"/><Relationship Id="rId51" Type="http://schemas.openxmlformats.org/officeDocument/2006/relationships/hyperlink" Target="https://www.carmag.co.za/car-price-guide-view/nissan-magnite-1-0-turbo-acenta-plus-auto/Tmlzc2FuIE1hZ25pdGUgMS4wIFR1cmJvIEFjZW50YSBQbHVzIGF1dG8=/?price=353500" TargetMode="External"/><Relationship Id="rId93" Type="http://schemas.openxmlformats.org/officeDocument/2006/relationships/hyperlink" Target="https://www.carmag.co.za/car-price-guide-view/citroen-c3-aircross-1-2t-feel/Q2l0cm/Dq24gQzMgQWlyY3Jvc3MgMS4yVCBGZWVs/?price=429900" TargetMode="External"/><Relationship Id="rId189" Type="http://schemas.openxmlformats.org/officeDocument/2006/relationships/hyperlink" Target="https://www.carmag.co.za/car-price-guide-view/baic-b40-plus-2-0tdi-city-hunter/QkFJQyBCNDAgUGx1cyAyLjBURGkgQ2l0eSBIdW50ZXI=/?price=594500" TargetMode="External"/><Relationship Id="rId396" Type="http://schemas.openxmlformats.org/officeDocument/2006/relationships/hyperlink" Target="https://www.carmag.co.za/car-price-guide-view/toyota-land-cruiser-300-3-3d-gx-r/VG95b3RhIExhbmQgQ3J1aXNlciAzMDAgMy4zRCBHWC1S/?price=1375100" TargetMode="External"/><Relationship Id="rId561" Type="http://schemas.openxmlformats.org/officeDocument/2006/relationships/hyperlink" Target="https://www.carmag.co.za/car-price-guide-view/bmw-x5-m-competition/Qk1XIFg1IE0gY29tcGV0aXRpb24=/?price=2928994" TargetMode="External"/><Relationship Id="rId214" Type="http://schemas.openxmlformats.org/officeDocument/2006/relationships/hyperlink" Target="https://www.carmag.co.za/car-price-guide-view/peugeot-3008-1-6t-allure/UGV1Z2VvdCAzMDA4IDEuNlQgQWxsdXJl/?price=664900" TargetMode="External"/><Relationship Id="rId256" Type="http://schemas.openxmlformats.org/officeDocument/2006/relationships/hyperlink" Target="https://www.carmag.co.za/car-price-guide-view/volvo-xc40-b4-plus-dark/Vm9sdm8gWEM0MCBCNCBQbHVzIERhcms=/?price=769700" TargetMode="External"/><Relationship Id="rId298" Type="http://schemas.openxmlformats.org/officeDocument/2006/relationships/hyperlink" Target="https://www.carmag.co.za/car-price-guide-view/lexus-nx-350h-awd-ex/TGV4dXMgTlggMzUwaCBBV0QgRVg=/?price=942700" TargetMode="External"/><Relationship Id="rId421" Type="http://schemas.openxmlformats.org/officeDocument/2006/relationships/hyperlink" Target="https://www.carmag.co.za/car-price-guide-view/mercedes-benz-eqb-350-4matic-edition-1/TWVyY2VkZXMtQmVueiBFUUIgMzUwIDRNYXRpYyBFZGl0aW9uIDE=/?price=1523400" TargetMode="External"/><Relationship Id="rId463" Type="http://schemas.openxmlformats.org/officeDocument/2006/relationships/hyperlink" Target="https://www.carmag.co.za/car-price-guide-view/porsche-cayenne-platinum-edition/UG9yc2NoZSBDYXllbm5lIFBsYXRpbnVtIEVkaXRpb24=/?price=1740000" TargetMode="External"/><Relationship Id="rId519" Type="http://schemas.openxmlformats.org/officeDocument/2006/relationships/hyperlink" Target="https://www.carmag.co.za/car-price-guide-view/mercedes-benz-gle400d-coupe-4matic-amg-line/TWVyY2VkZXMtQmVueiBHTEU0MDBkIENvdXDDqSA0TWF0aWMgQU1HIExpbmU=/?price=2064107" TargetMode="External"/><Relationship Id="rId116" Type="http://schemas.openxmlformats.org/officeDocument/2006/relationships/hyperlink" Target="https://www.carmag.co.za/car-price-guide-view/subaru-xv-2-0i/U3ViYXJ1IFhWIDIuMGk=/?price=464000" TargetMode="External"/><Relationship Id="rId158" Type="http://schemas.openxmlformats.org/officeDocument/2006/relationships/hyperlink" Target="https://www.carmag.co.za/car-price-guide-view/peugeot-2008-1-2t-gt/UGV1Z2VvdCAyMDA4IDEuMlQgR1Q=/?price=544900" TargetMode="External"/><Relationship Id="rId323" Type="http://schemas.openxmlformats.org/officeDocument/2006/relationships/hyperlink" Target="https://www.carmag.co.za/car-price-guide-view/bmw-x3-sdrive20i-m-sport/Qk1XIFgzIHNEcml2ZTIwaSBNIFNwb3J0/?price=1055778" TargetMode="External"/><Relationship Id="rId530" Type="http://schemas.openxmlformats.org/officeDocument/2006/relationships/hyperlink" Target="https://www.carmag.co.za/car-price-guide-view/maserati-levante-gt/TWFzZXJhdGkgTGV2YW50ZSBHVA==/?price=2175000" TargetMode="External"/><Relationship Id="rId20" Type="http://schemas.openxmlformats.org/officeDocument/2006/relationships/hyperlink" Target="https://www.carmag.co.za/car-price-guide-view/suzuki-vitara-brezza-1-5-gl-auto/U3V6dWtpIFZpdGFyYSBCcmV6emEgMS41IEdMIGF1dG8=/?price=283900" TargetMode="External"/><Relationship Id="rId62" Type="http://schemas.openxmlformats.org/officeDocument/2006/relationships/hyperlink" Target="https://www.carmag.co.za/car-price-guide-view/haval-jolion-1-5t-luxury/SGF2YWwgSm9saW9uIDEuNVQgTHV4dXJ5/?price=377950" TargetMode="External"/><Relationship Id="rId365" Type="http://schemas.openxmlformats.org/officeDocument/2006/relationships/hyperlink" Target="https://www.carmag.co.za/car-price-guide-view/porsche-macan-t/UG9yc2NoZSBNYWNhbiBU/?price=1215000" TargetMode="External"/><Relationship Id="rId572" Type="http://schemas.openxmlformats.org/officeDocument/2006/relationships/hyperlink" Target="https://www.carmag.co.za/car-price-guide-view/mercedes-amg-gle63-s-coupe-4matic/TWVyY2VkZXMtQU1HIEdMRTYzIFMgQ291cMOpIDRNYXRpYys=/?price=3405844" TargetMode="External"/><Relationship Id="rId225" Type="http://schemas.openxmlformats.org/officeDocument/2006/relationships/hyperlink" Target="https://www.carmag.co.za/car-price-guide-view/volvo-xc40-b3-essential/Vm9sdm8gWEM0MCBCMyBFc3NlbnRpYWw=/?price=677700" TargetMode="External"/><Relationship Id="rId267" Type="http://schemas.openxmlformats.org/officeDocument/2006/relationships/hyperlink" Target="https://www.carmag.co.za/car-price-guide-view/toyota-fortuner-2-8gd-6/VG95b3RhIEZvcnR1bmVyIDIuOEdELTY=/?price=794600" TargetMode="External"/><Relationship Id="rId432" Type="http://schemas.openxmlformats.org/officeDocument/2006/relationships/hyperlink" Target="https://www.carmag.co.za/car-price-guide-view/land-rover-defender-110-d300-x-dynamic-hse/TGFuZCBSb3ZlciBEZWZlbmRlciAxMTAgRDMwMCBYLUR5bmFtaWMgSFNF/?price=1598600" TargetMode="External"/><Relationship Id="rId474" Type="http://schemas.openxmlformats.org/officeDocument/2006/relationships/hyperlink" Target="https://www.carmag.co.za/car-price-guide-view/bmw-x6-xdrive40i-m-sport/Qk1XIFg2IHhEcml2ZTQwaSBNIFNwb3J0/?price=1777850" TargetMode="External"/><Relationship Id="rId127" Type="http://schemas.openxmlformats.org/officeDocument/2006/relationships/hyperlink" Target="https://www.carmag.co.za/car-price-guide-view/opel-crossland-1-2t-gs-line/T3BlbCBDcm9zc2xhbmQgMS4yVCBHUyBMaW5l/?price=478900" TargetMode="External"/><Relationship Id="rId31" Type="http://schemas.openxmlformats.org/officeDocument/2006/relationships/hyperlink" Target="https://www.carmag.co.za/car-price-guide-view/renault-kiger-1-0-turbo-intens/UmVuYXVsdCBLaWdlciAxLjAgVHVyYm8gSW50ZW5z/?price=309999" TargetMode="External"/><Relationship Id="rId73" Type="http://schemas.openxmlformats.org/officeDocument/2006/relationships/hyperlink" Target="https://www.carmag.co.za/car-price-guide-view/baic-beijing-x55-1-5t-dynamic/QkFJQyBCZWlqaW5nIFg1NSAxLjVUIER5bmFtaWM=/?price=394900" TargetMode="External"/><Relationship Id="rId169" Type="http://schemas.openxmlformats.org/officeDocument/2006/relationships/hyperlink" Target="https://www.carmag.co.za/car-price-guide-view/mazda-cx-5-2-0-dynamic/TWF6ZGEgQ1gtNSAyLjAgRHluYW1pYw==/?price=565100" TargetMode="External"/><Relationship Id="rId334" Type="http://schemas.openxmlformats.org/officeDocument/2006/relationships/hyperlink" Target="https://www.carmag.co.za/car-price-guide-view/bmw-x3-xdrive20d-m-sport/Qk1XIFgzIHhEcml2ZTIwZCBNIFNwb3J0/?price=1105394" TargetMode="External"/><Relationship Id="rId376" Type="http://schemas.openxmlformats.org/officeDocument/2006/relationships/hyperlink" Target="https://www.carmag.co.za/car-price-guide-view/toyota-land-cruiser-prado-2-8gd-vx-l/VG95b3RhIExhbmQgQ3J1aXNlciBQcmFkbyAyLjhHRCBWWC1M/?price=1271900" TargetMode="External"/><Relationship Id="rId541" Type="http://schemas.openxmlformats.org/officeDocument/2006/relationships/hyperlink" Target="https://www.carmag.co.za/car-price-guide-view/lexus-lx-500d/TGV4dXMgTFggNTAwZA==/?price=2341000" TargetMode="External"/><Relationship Id="rId583" Type="http://schemas.openxmlformats.org/officeDocument/2006/relationships/hyperlink" Target="https://www.carmag.co.za/car-price-guide-view/land-rover-range-rover-p510e-first-edition/TGFuZCBSb3ZlciBSYW5nZSBSb3ZlciBQNTEwZSBGaXJzdCBFZGl0aW9u/?price=3693300" TargetMode="External"/><Relationship Id="rId4" Type="http://schemas.openxmlformats.org/officeDocument/2006/relationships/hyperlink" Target="https://www.carmag.co.za/car-price-guide-view/mahindra-kuv100-nxt-1-2-g80-k6/TWFoaW5kcmEgS1VWMTAwIE54dCAxLjIgRzgwIEs2Kw==/?price=217999" TargetMode="External"/><Relationship Id="rId180" Type="http://schemas.openxmlformats.org/officeDocument/2006/relationships/hyperlink" Target="https://www.carmag.co.za/car-price-guide-view/renault-koleos-2-5-dynamique/UmVuYXVsdCBLb2xlb3MgMi41IER5bmFtaXF1ZQ==/?price=584999" TargetMode="External"/><Relationship Id="rId236" Type="http://schemas.openxmlformats.org/officeDocument/2006/relationships/hyperlink" Target="https://www.carmag.co.za/car-price-guide-view/mitsubishi-pajero-sport-2-4di-d/TWl0c3ViaXNoaSBQYWplcm8gU3BvcnQgMi40REktRA==/?price=724990" TargetMode="External"/><Relationship Id="rId278" Type="http://schemas.openxmlformats.org/officeDocument/2006/relationships/hyperlink" Target="https://www.carmag.co.za/car-price-guide-view/honda-cr-v-1-5t-exclusive-awd/SG9uZGEgQ1ItViAxLjVUIEV4Y2x1c2l2ZSBBV0Q=/?price=818700" TargetMode="External"/><Relationship Id="rId401" Type="http://schemas.openxmlformats.org/officeDocument/2006/relationships/hyperlink" Target="https://www.carmag.co.za/car-price-guide-view/jaguar-f-pace-d300-awd-r-dynamic-se/SmFndWFyIEYtUGFjZSBEMzAwIEFXRCBSLUR5bmFtaWMgU0U=/?price=1416000" TargetMode="External"/><Relationship Id="rId443" Type="http://schemas.openxmlformats.org/officeDocument/2006/relationships/hyperlink" Target="https://www.carmag.co.za/car-price-guide-view/bmw-x5-xdrive45e-xline/Qk1XIFg1IHhEcml2ZTQ1ZSB4TGluZQ==/?price=1638000" TargetMode="External"/><Relationship Id="rId303" Type="http://schemas.openxmlformats.org/officeDocument/2006/relationships/hyperlink" Target="https://www.carmag.co.za/car-price-guide-view/volvo-xc60-b5-awd-essential/Vm9sdm8gWEM2MCBCNSBBV0QgRXNzZW50aWFs/?price=957900" TargetMode="External"/><Relationship Id="rId485" Type="http://schemas.openxmlformats.org/officeDocument/2006/relationships/hyperlink" Target="https://www.carmag.co.za/car-price-guide-view/land-rover-defender-110-d300-x/TGFuZCBSb3ZlciBEZWZlbmRlciAxMTAgRDMwMCBY/?price=1826600" TargetMode="External"/><Relationship Id="rId42" Type="http://schemas.openxmlformats.org/officeDocument/2006/relationships/hyperlink" Target="https://www.carmag.co.za/car-price-guide-view/toyota-urban-cruiser-1-5-xr/VG95b3RhIFVyYmFuIENydWlzZXIgMS41IFhS/?price=333300" TargetMode="External"/><Relationship Id="rId84" Type="http://schemas.openxmlformats.org/officeDocument/2006/relationships/hyperlink" Target="https://www.carmag.co.za/car-price-guide-view/toyota-corolla-cross-1-8-xs/VG95b3RhIENvcm9sbGEgQ3Jvc3MgMS44IFhT/?price=414300" TargetMode="External"/><Relationship Id="rId138" Type="http://schemas.openxmlformats.org/officeDocument/2006/relationships/hyperlink" Target="https://www.carmag.co.za/car-price-guide-view/proton-x50-1-5t-luxury/UHJvdG9uIFg1MCAxLjVUIEx1eHVyeQ==/?price=499900" TargetMode="External"/><Relationship Id="rId345" Type="http://schemas.openxmlformats.org/officeDocument/2006/relationships/hyperlink" Target="https://www.carmag.co.za/car-price-guide-view/audi-q5-sportback-45tfsi-quattro-s-line/QXVkaSBRNSBTcG9ydGJhY2sgNDVURlNJIHF1YXR0cm8gUyBsaW5l/?price=1136500" TargetMode="External"/><Relationship Id="rId387" Type="http://schemas.openxmlformats.org/officeDocument/2006/relationships/hyperlink" Target="https://www.carmag.co.za/car-price-guide-view/volvo-xc90-b5-awd-essential/Vm9sdm8gWEM5MCBCNSBBV0QgRXNzZW50aWFs/?price=1312500" TargetMode="External"/><Relationship Id="rId510" Type="http://schemas.openxmlformats.org/officeDocument/2006/relationships/hyperlink" Target="https://www.carmag.co.za/car-price-guide-view/bmw-x5-m50d/Qk1XIFg1IE01MGQ=/?price=1984573" TargetMode="External"/><Relationship Id="rId552" Type="http://schemas.openxmlformats.org/officeDocument/2006/relationships/hyperlink" Target="https://www.carmag.co.za/car-price-guide-view/land-rover-defender-110-v8/TGFuZCBSb3ZlciBEZWZlbmRlciAxMTAgVjg=/?price=2648600" TargetMode="External"/><Relationship Id="rId594" Type="http://schemas.openxmlformats.org/officeDocument/2006/relationships/hyperlink" Target="https://www.carmag.co.za/car-price-guide-view/bentley-bentayga-v8/QmVudGxleSBCZW50YXlnYSBWOA==/?price=4480000" TargetMode="External"/><Relationship Id="rId191" Type="http://schemas.openxmlformats.org/officeDocument/2006/relationships/hyperlink" Target="https://www.carmag.co.za/car-price-guide-view/hyundai-tucson-2-0-executive/SHl1bmRhaSBUdWNzb24gMi4wIEV4ZWN1dGl2ZQ==/?price=601900" TargetMode="External"/><Relationship Id="rId205" Type="http://schemas.openxmlformats.org/officeDocument/2006/relationships/hyperlink" Target="https://www.carmag.co.za/car-price-guide-view/mazda-cx-5-2-0-carbon-edition/TWF6ZGEgQ1gtNSAyLjAgQ2FyYm9uIEVkaXRpb24=/?price=640600" TargetMode="External"/><Relationship Id="rId247" Type="http://schemas.openxmlformats.org/officeDocument/2006/relationships/hyperlink" Target="https://www.carmag.co.za/car-price-guide-view/bmw-x2-sdrive18i-m-sport/Qk1XIFgyIHNEcml2ZTE4aSBNIFNwb3J0/?price=747286" TargetMode="External"/><Relationship Id="rId412" Type="http://schemas.openxmlformats.org/officeDocument/2006/relationships/hyperlink" Target="https://www.carmag.co.za/car-price-guide-view/jaguar-f-pace-d300-awd-r-dynamic-hse/SmFndWFyIEYtUGFjZSBEMzAwIEFXRCBSLUR5bmFtaWMgSFNF/?price=1477000" TargetMode="External"/><Relationship Id="rId107" Type="http://schemas.openxmlformats.org/officeDocument/2006/relationships/hyperlink" Target="https://www.carmag.co.za/car-price-guide-view/volkswagen-taigo-1-0tsi-life/Vm9sa3N3YWdlbiBUYWlnbyAxLjBUU0kgTGlmZQ==/?price=453800" TargetMode="External"/><Relationship Id="rId289" Type="http://schemas.openxmlformats.org/officeDocument/2006/relationships/hyperlink" Target="https://www.carmag.co.za/car-price-guide-view/kia-sorento-2-2crdi-awd-ex/S2lhIFNvcmVudG8gMi4yQ1JEaSBBV0QgRVgr/?price=874995" TargetMode="External"/><Relationship Id="rId454" Type="http://schemas.openxmlformats.org/officeDocument/2006/relationships/hyperlink" Target="https://www.carmag.co.za/car-price-guide-view/mercedes-benz-gle300d-4matic-amg-line/TWVyY2VkZXMtQmVueiBHTEUzMDBkIDRNYXRpYyBBTUcgTGluZQ==/?price=1699589" TargetMode="External"/><Relationship Id="rId496" Type="http://schemas.openxmlformats.org/officeDocument/2006/relationships/hyperlink" Target="https://www.carmag.co.za/car-price-guide-view/porsche-cayenne-s-coupe-platinum-edition/UG9yc2NoZSBDYXllbm5lIFMgQ291cMOpIFBsYXRpbnVtIEVkaXRpb24=/?price=1912000" TargetMode="External"/><Relationship Id="rId11" Type="http://schemas.openxmlformats.org/officeDocument/2006/relationships/hyperlink" Target="https://www.carmag.co.za/car-price-guide-view/renault-kiger-1-0-zen-auto/UmVuYXVsdCBLaWdlciAxLjAgWmVuIGF1dG8=/?price=244999" TargetMode="External"/><Relationship Id="rId53" Type="http://schemas.openxmlformats.org/officeDocument/2006/relationships/hyperlink" Target="https://www.carmag.co.za/car-price-guide-view/suzuki-jimny-1-5-gl-allgrip/U3V6dWtpIEppbW55IDEuNSBHTCBBbGxHcmlw/?price=356900" TargetMode="External"/><Relationship Id="rId149" Type="http://schemas.openxmlformats.org/officeDocument/2006/relationships/hyperlink" Target="https://www.carmag.co.za/car-price-guide-view/mazda-cx-30-2-0-dynamic/TWF6ZGEgQ1gtMzAgMi4wIER5bmFtaWM=/?price=529600" TargetMode="External"/><Relationship Id="rId314" Type="http://schemas.openxmlformats.org/officeDocument/2006/relationships/hyperlink" Target="https://www.carmag.co.za/car-price-guide-view/volkswagen-tiguan-r/Vm9sa3N3YWdlbiBUaWd1YW4gUg==/?price=1014900" TargetMode="External"/><Relationship Id="rId356" Type="http://schemas.openxmlformats.org/officeDocument/2006/relationships/hyperlink" Target="https://www.carmag.co.za/car-price-guide-view/bmw-x4-xdrive20d-m-sport/Qk1XIFg0IHhEcml2ZTIwZCBNIFNwb3J0/?price=1192894" TargetMode="External"/><Relationship Id="rId398" Type="http://schemas.openxmlformats.org/officeDocument/2006/relationships/hyperlink" Target="https://www.carmag.co.za/car-price-guide-view/audi-sq5-sportback-tfsi-quattro/QXVkaSBTUTUgU3BvcnRiYWNrIFRGU0kgcXVhdHRybw==/?price=1405500" TargetMode="External"/><Relationship Id="rId521" Type="http://schemas.openxmlformats.org/officeDocument/2006/relationships/hyperlink" Target="https://www.carmag.co.za/car-price-guide-view/land-rover-range-rover-sport-d350-dynamic-se/TGFuZCBSb3ZlciBSYW5nZSBSb3ZlciBTcG9ydCBEMzUwIER5bmFtaWMgU0U=/?price=2081000" TargetMode="External"/><Relationship Id="rId563" Type="http://schemas.openxmlformats.org/officeDocument/2006/relationships/hyperlink" Target="https://www.carmag.co.za/car-price-guide-view/land-rover-range-rover-d350-se-l-7-seats/TGFuZCBSb3ZlciBSYW5nZSBSb3ZlciBEMzUwIFNFIEwgNyBzZWF0cw==/?price=2967600" TargetMode="External"/><Relationship Id="rId95" Type="http://schemas.openxmlformats.org/officeDocument/2006/relationships/hyperlink" Target="https://www.carmag.co.za/car-price-guide-view/mitsubishi-asx-2-0-ls/TWl0c3ViaXNoaSBBU1ggMi4wIExT/?price=434990" TargetMode="External"/><Relationship Id="rId160" Type="http://schemas.openxmlformats.org/officeDocument/2006/relationships/hyperlink" Target="https://www.carmag.co.za/car-price-guide-view/haval-h6-2-0gdit-4wd-luxury/SGF2YWwgSDYgMi4wR0RJVCA0V0QgTHV4dXJ5/?price=549950" TargetMode="External"/><Relationship Id="rId216" Type="http://schemas.openxmlformats.org/officeDocument/2006/relationships/hyperlink" Target="https://www.carmag.co.za/car-price-guide-view/baic-b40-plus-2-0t-champion/QkFJQyBCNDAgUGx1cyAyLjBUIENoYW1waW9u/?price=669500" TargetMode="External"/><Relationship Id="rId423" Type="http://schemas.openxmlformats.org/officeDocument/2006/relationships/hyperlink" Target="https://www.carmag.co.za/car-price-guide-view/land-rover-discovery-sport-p300e-r-dynamic-hse/TGFuZCBSb3ZlciBEaXNjb3ZlcnkgU3BvcnQgUDMwMGUgUi1EeW5hbWljIEhTRQ==/?price=1534200" TargetMode="External"/><Relationship Id="rId258" Type="http://schemas.openxmlformats.org/officeDocument/2006/relationships/hyperlink" Target="https://www.carmag.co.za/car-price-guide-view/mitsubishi-pajero-sport-2-4di-d-4x4/TWl0c3ViaXNoaSBQYWplcm8gU3BvcnQgMi40REktRCA0eDQ=/?price=774990" TargetMode="External"/><Relationship Id="rId465" Type="http://schemas.openxmlformats.org/officeDocument/2006/relationships/hyperlink" Target="https://www.carmag.co.za/car-price-guide-view/audi-e-tron-55-quattro/QXVkaSBlLXRyb24gNTUgcXVhdHRybw==/?price=1745000" TargetMode="External"/><Relationship Id="rId22" Type="http://schemas.openxmlformats.org/officeDocument/2006/relationships/hyperlink" Target="https://www.carmag.co.za/car-price-guide-view/mahindra-xuv300-1-2t-w6/TWFoaW5kcmEgWFVWMzAwIDEuMlQgVzY=/?price=284999" TargetMode="External"/><Relationship Id="rId64" Type="http://schemas.openxmlformats.org/officeDocument/2006/relationships/hyperlink" Target="https://www.carmag.co.za/car-price-guide-view/honda-br-v-1-5-trend/SG9uZGEgQlItViAxLjUgVHJlbmQ=/?price=379900" TargetMode="External"/><Relationship Id="rId118" Type="http://schemas.openxmlformats.org/officeDocument/2006/relationships/hyperlink" Target="https://www.carmag.co.za/car-price-guide-view/mahindra-scorpio-n-2-2d-z4/TWFoaW5kcmEgU2NvcnBpby1OIDIuMkQgWjQ=/?price=465000" TargetMode="External"/><Relationship Id="rId325" Type="http://schemas.openxmlformats.org/officeDocument/2006/relationships/hyperlink" Target="https://www.carmag.co.za/car-price-guide-view/bmw-x3-xdrive20d/Qk1XIFgzIHhEcml2ZTIwZA==/?price=1065394" TargetMode="External"/><Relationship Id="rId367" Type="http://schemas.openxmlformats.org/officeDocument/2006/relationships/hyperlink" Target="https://www.carmag.co.za/car-price-guide-view/mercedes-benz-eqa-250-amg-line/TWVyY2VkZXMtQmVueiBFUUEgMjUwIEFNRyBMaW5l/?price=1227000" TargetMode="External"/><Relationship Id="rId532" Type="http://schemas.openxmlformats.org/officeDocument/2006/relationships/hyperlink" Target="https://www.carmag.co.za/car-price-guide-view/land-rover-range-rover-sport-d350-dynamic-hse/TGFuZCBSb3ZlciBSYW5nZSBSb3ZlciBTcG9ydCBEMzUwIER5bmFtaWMgSFNF/?price=2208100" TargetMode="External"/><Relationship Id="rId574" Type="http://schemas.openxmlformats.org/officeDocument/2006/relationships/hyperlink" Target="https://www.carmag.co.za/car-price-guide-view/porsche-cayenne-turbo-gt/UG9yc2NoZSBDYXllbm5lIHR1cmJvIEdU/?price=3500000" TargetMode="External"/><Relationship Id="rId171" Type="http://schemas.openxmlformats.org/officeDocument/2006/relationships/hyperlink" Target="https://www.carmag.co.za/car-price-guide-view/hyundai-grand-creta-2-0-elite/SHl1bmRhaSBHcmFuZCBDcmV0YSAyLjAgRWxpdGU=/?price=571900" TargetMode="External"/><Relationship Id="rId227" Type="http://schemas.openxmlformats.org/officeDocument/2006/relationships/hyperlink" Target="https://www.carmag.co.za/car-price-guide-view/kia-sportage-1-6t-gdi-gt-line-plus/S2lhIFNwb3J0YWdlIDEuNlQtR0RpIEdUIExpbmUgUGx1cw==/?price=692995" TargetMode="External"/><Relationship Id="rId269" Type="http://schemas.openxmlformats.org/officeDocument/2006/relationships/hyperlink" Target="https://www.carmag.co.za/car-price-guide-view/mitsubishi-pajero-sport-2-4di-d-4x4-aspire/TWl0c3ViaXNoaSBQYWplcm8gU3BvcnQgMi40REktRCA0eDQgQXNwaXJl/?price=794990" TargetMode="External"/><Relationship Id="rId434" Type="http://schemas.openxmlformats.org/officeDocument/2006/relationships/hyperlink" Target="https://www.carmag.co.za/car-price-guide-view/land-rover-defender-90-p400-x-dynamic-hse/TGFuZCBSb3ZlciBEZWZlbmRlciA5MCBQNDAwIFgtRHluYW1pYyBIU0U=/?price=1607700" TargetMode="External"/><Relationship Id="rId476" Type="http://schemas.openxmlformats.org/officeDocument/2006/relationships/hyperlink" Target="https://www.carmag.co.za/car-price-guide-view/porsche-cayenne-s-coupe/UG9yc2NoZSBDYXllbm5lIFMgQ291cMOp/?price=1790000" TargetMode="External"/><Relationship Id="rId33" Type="http://schemas.openxmlformats.org/officeDocument/2006/relationships/hyperlink" Target="https://www.carmag.co.za/car-price-guide-view/honda-wr-v-1-2-comfort/SG9uZGEgV1ItViAxLjIgQ29tZm9ydA==/?price=315200" TargetMode="External"/><Relationship Id="rId129" Type="http://schemas.openxmlformats.org/officeDocument/2006/relationships/hyperlink" Target="https://www.carmag.co.za/car-price-guide-view/mitsubishi-eclipse-cross-2-0-gls/TWl0c3ViaXNoaSBFY2xpcHNlIENyb3NzIDIuMCBHTFM=/?price=479990" TargetMode="External"/><Relationship Id="rId280" Type="http://schemas.openxmlformats.org/officeDocument/2006/relationships/hyperlink" Target="https://www.carmag.co.za/car-price-guide-view/bmw-x1-sdrive18d-m-sport/Qk1XIFgxIHNEcml2ZTE4ZCBNIFNwb3J0/?price=830617" TargetMode="External"/><Relationship Id="rId336" Type="http://schemas.openxmlformats.org/officeDocument/2006/relationships/hyperlink" Target="https://www.carmag.co.za/car-price-guide-view/porsche-macan/UG9yc2NoZSBNYWNhbg==/?price=1112000" TargetMode="External"/><Relationship Id="rId501" Type="http://schemas.openxmlformats.org/officeDocument/2006/relationships/hyperlink" Target="https://www.carmag.co.za/car-price-guide-view/toyota-land-cruiser-300-3-5t-zx/VG95b3RhIExhbmQgQ3J1aXNlciAzMDAgMy41VCBaWA==/?price=1925800" TargetMode="External"/><Relationship Id="rId543" Type="http://schemas.openxmlformats.org/officeDocument/2006/relationships/hyperlink" Target="https://www.carmag.co.za/car-price-guide-view/lexus-lx-600-f-sport/TGV4dXMgTFggNjAwIEYgU3BvcnQ=/?price=2383800" TargetMode="External"/><Relationship Id="rId75" Type="http://schemas.openxmlformats.org/officeDocument/2006/relationships/hyperlink" Target="https://www.carmag.co.za/car-price-guide-view/suzuki-jimny-1-5-glx-allgrip-auto/U3V6dWtpIEppbW55IDEuNSBHTFggQWxsR3JpcCBhdXRv/?price=399900" TargetMode="External"/><Relationship Id="rId140" Type="http://schemas.openxmlformats.org/officeDocument/2006/relationships/hyperlink" Target="https://www.carmag.co.za/car-price-guide-view/mazda-cx-3-2-0-individual/TWF6ZGEgQ1gtMyAyLjAgSW5kaXZpZHVhbA==/?price=511600" TargetMode="External"/><Relationship Id="rId182" Type="http://schemas.openxmlformats.org/officeDocument/2006/relationships/hyperlink" Target="https://www.carmag.co.za/car-price-guide-view/audi-q2-35tfsi/QXVkaSBRMiAzNVRGU0k=/?price=587600" TargetMode="External"/><Relationship Id="rId378" Type="http://schemas.openxmlformats.org/officeDocument/2006/relationships/hyperlink" Target="https://www.carmag.co.za/car-price-guide-view/audi-sq5-tfsi-quattro/QXVkaSBTUTUgVEZTSSBxdWF0dHJv/?price=1278500" TargetMode="External"/><Relationship Id="rId403" Type="http://schemas.openxmlformats.org/officeDocument/2006/relationships/hyperlink" Target="https://www.carmag.co.za/car-price-guide-view/mercedes-benz-eqb-350-4matic-amg-line/TWVyY2VkZXMtQmVueiBFUUIgMzUwIDRNYXRpYyBBTUcgTGluZQ==/?price=1432000" TargetMode="External"/><Relationship Id="rId585" Type="http://schemas.openxmlformats.org/officeDocument/2006/relationships/hyperlink" Target="https://www.carmag.co.za/car-price-guide-view/land-rover-range-rover-p530-first-edition/TGFuZCBSb3ZlciBSYW5nZSBSb3ZlciBQNTMwIEZpcnN0IEVkaXRpb24=/?price=3719600" TargetMode="External"/><Relationship Id="rId6" Type="http://schemas.openxmlformats.org/officeDocument/2006/relationships/hyperlink" Target="https://www.carmag.co.za/car-price-guide-view/renault-kiger-1-0-life/UmVuYXVsdCBLaWdlciAxLjAgTGlmZQ==/?price=219999" TargetMode="External"/><Relationship Id="rId238" Type="http://schemas.openxmlformats.org/officeDocument/2006/relationships/hyperlink" Target="https://www.carmag.co.za/car-price-guide-view/volvo-xc40-b3-plus-dark/Vm9sdm8gWEM0MCBCMyBQbHVzIERhcms=/?price=728400" TargetMode="External"/><Relationship Id="rId445" Type="http://schemas.openxmlformats.org/officeDocument/2006/relationships/hyperlink" Target="https://www.carmag.co.za/car-price-guide-view/maserati-grecale-gt/TWFzZXJhdGkgR3JlY2FsZSBHVA==/?price=1650000" TargetMode="External"/><Relationship Id="rId487" Type="http://schemas.openxmlformats.org/officeDocument/2006/relationships/hyperlink" Target="https://www.carmag.co.za/car-price-guide-view/land-rover-defender-110-p400-75-years-75th-limited-edition/TGFuZCBSb3ZlciBEZWZlbmRlciAxMTAgUDQwMCA3NSBZZWFycyAvIDc1dGggTGltaXRlZCBFZGl0aW9u/?price=1845700" TargetMode="External"/><Relationship Id="rId291" Type="http://schemas.openxmlformats.org/officeDocument/2006/relationships/hyperlink" Target="https://www.carmag.co.za/car-price-guide-view/mercedes-benz-gla200d-progressive/TWVyY2VkZXMtQmVueiBHTEEyMDBkIFByb2dyZXNzaXZl/?price=883568" TargetMode="External"/><Relationship Id="rId305" Type="http://schemas.openxmlformats.org/officeDocument/2006/relationships/hyperlink" Target="https://www.carmag.co.za/car-price-guide-view/toyota-land-cruiser-76-4-5d-4d-lx-v8-station-wagon/VG95b3RhIExhbmQgQ3J1aXNlciA3NiA0LjVELTREIExYIFY4IFN0YXRpb24gV2Fnb24=/?price=963400" TargetMode="External"/><Relationship Id="rId347" Type="http://schemas.openxmlformats.org/officeDocument/2006/relationships/hyperlink" Target="https://www.carmag.co.za/car-price-guide-view/land-rover-range-rover-evoque-d200-r-dynamic-se/TGFuZCBSb3ZlciBSYW5nZSBSb3ZlciBFdm9xdWUgRDIwMCBSLUR5bmFtaWMgU0U=/?price=1143200" TargetMode="External"/><Relationship Id="rId512" Type="http://schemas.openxmlformats.org/officeDocument/2006/relationships/hyperlink" Target="https://www.carmag.co.za/car-price-guide-view/bmw-x5-m50i/Qk1XIFg1IE01MGk=/?price=1995502" TargetMode="External"/><Relationship Id="rId44" Type="http://schemas.openxmlformats.org/officeDocument/2006/relationships/hyperlink" Target="https://www.carmag.co.za/car-price-guide-view/chery-tiggo-4-pro-1-5-comfort/Q2hlcnkgVGlnZ28gNCBQcm8gMS41IENvbWZvcnQ=/?price=336900" TargetMode="External"/><Relationship Id="rId86" Type="http://schemas.openxmlformats.org/officeDocument/2006/relationships/hyperlink" Target="https://www.carmag.co.za/car-price-guide-view/mahindra-scorpio-2-2crde-4wd-s11/TWFoaW5kcmEgU2NvcnBpbyAyLjJDUkRlIDRXRCBTMTE=/?price=414999" TargetMode="External"/><Relationship Id="rId151" Type="http://schemas.openxmlformats.org/officeDocument/2006/relationships/hyperlink" Target="https://www.carmag.co.za/car-price-guide-view/mazda-cx-5-2-0-active-auto/TWF6ZGEgQ1gtNSAyLjAgQWN0aXZlIGF1dG8=/?price=530900" TargetMode="External"/><Relationship Id="rId389" Type="http://schemas.openxmlformats.org/officeDocument/2006/relationships/hyperlink" Target="https://www.carmag.co.za/car-price-guide-view/mercedes-benz-glc300-4matic-amg-line/TWVyY2VkZXMtQmVueiBHTEMzMDAgNE1hdGljIEFNRyBMaW5l/?price=1325916" TargetMode="External"/><Relationship Id="rId554" Type="http://schemas.openxmlformats.org/officeDocument/2006/relationships/hyperlink" Target="https://www.carmag.co.za/car-price-guide-view/land-rover-defender-110-v8-carpathian-edition/TGFuZCBSb3ZlciBEZWZlbmRlciAxMTAgVjggQ2FycGF0aGlhbiBFZGl0aW9u/?price=2749600" TargetMode="External"/><Relationship Id="rId596" Type="http://schemas.openxmlformats.org/officeDocument/2006/relationships/hyperlink" Target="https://www.carmag.co.za/car-price-guide-view/lamborghini-urus-performante/TGFtYm9yZ2hpbmkgVXJ1cyBQZXJmb3JtYW50ZQ==/?price=4795000" TargetMode="External"/><Relationship Id="rId193" Type="http://schemas.openxmlformats.org/officeDocument/2006/relationships/hyperlink" Target="https://www.carmag.co.za/car-price-guide-view/subaru-forester-2-0i-s-es/U3ViYXJ1IEZvcmVzdGVyIDIuMGktUyBFUw==/?price=609000" TargetMode="External"/><Relationship Id="rId207" Type="http://schemas.openxmlformats.org/officeDocument/2006/relationships/hyperlink" Target="https://www.carmag.co.za/car-price-guide-view/subaru-forester-2-5i-sport-es/U3ViYXJ1IEZvcmVzdGVyIDIuNWktU3BvcnQgRVM=/?price=646000" TargetMode="External"/><Relationship Id="rId249" Type="http://schemas.openxmlformats.org/officeDocument/2006/relationships/hyperlink" Target="https://www.carmag.co.za/car-price-guide-view/kia-sportage-1-6t-gdi-gt-line-s/S2lhIFNwb3J0YWdlIDEuNlQtR0RpIEdUIExpbmUgUw==/?price=749995" TargetMode="External"/><Relationship Id="rId414" Type="http://schemas.openxmlformats.org/officeDocument/2006/relationships/hyperlink" Target="https://www.carmag.co.za/car-price-guide-view/land-rover-range-rover-evoque-p300e-r-dynamic-se/TGFuZCBSb3ZlciBSYW5nZSBSb3ZlciBFdm9xdWUgUDMwMGUgUi1EeW5hbWljIFNF/?price=1483600" TargetMode="External"/><Relationship Id="rId456" Type="http://schemas.openxmlformats.org/officeDocument/2006/relationships/hyperlink" Target="https://www.carmag.co.za/car-price-guide-view/bmw-x6-xdrive30d/Qk1XIFg2IHhEcml2ZTMwZA==/?price=1704269" TargetMode="External"/><Relationship Id="rId498" Type="http://schemas.openxmlformats.org/officeDocument/2006/relationships/hyperlink" Target="https://www.carmag.co.za/car-price-guide-view/land-rover-discovery-p360-metropolitan-edition/TGFuZCBSb3ZlciBEaXNjb3ZlcnkgUDM2MCBNZXRyb3BvbGl0YW4gRWRpdGlvbg==/?price=1917700" TargetMode="External"/><Relationship Id="rId13" Type="http://schemas.openxmlformats.org/officeDocument/2006/relationships/hyperlink" Target="https://www.carmag.co.za/car-price-guide-view/mahindra-kuv100-nxt-1-2td-d75-k6/TWFoaW5kcmEgS1VWMTAwIE54dCAxLjJURCBENzUgSzYr/?price=254999" TargetMode="External"/><Relationship Id="rId109" Type="http://schemas.openxmlformats.org/officeDocument/2006/relationships/hyperlink" Target="https://www.carmag.co.za/car-price-guide-view/mitsubishi-asx-2-0-ls-auto/TWl0c3ViaXNoaSBBU1ggMi4wIExTIGF1dG8=/?price=454990" TargetMode="External"/><Relationship Id="rId260" Type="http://schemas.openxmlformats.org/officeDocument/2006/relationships/hyperlink" Target="https://www.carmag.co.za/car-price-guide-view/hyundai-kona-n/SHl1bmRhaSBLb25hIE4=/?price=779900" TargetMode="External"/><Relationship Id="rId316" Type="http://schemas.openxmlformats.org/officeDocument/2006/relationships/hyperlink" Target="https://www.carmag.co.za/car-price-guide-view/kia-sorento-2-2crdi-awd-sxl/S2lhIFNvcmVudG8gMi4yQ1JEaSBBV0QgU1hM/?price=1019995" TargetMode="External"/><Relationship Id="rId523" Type="http://schemas.openxmlformats.org/officeDocument/2006/relationships/hyperlink" Target="https://www.carmag.co.za/car-price-guide-view/porsche-cayenne-e-hybrid-platinum-edition/UG9yc2NoZSBDYXllbm5lIGUtaHlicmlkIFBsYXRpbnVtIEVkaXRpb24=/?price=2089000" TargetMode="External"/><Relationship Id="rId55" Type="http://schemas.openxmlformats.org/officeDocument/2006/relationships/hyperlink" Target="https://www.carmag.co.za/car-price-guide-view/kia-sonet-1-5-ex-auto/S2lhIFNvbmV0IDEuNSBFWCBhdXRv/?price=357995" TargetMode="External"/><Relationship Id="rId97" Type="http://schemas.openxmlformats.org/officeDocument/2006/relationships/hyperlink" Target="https://www.carmag.co.za/car-price-guide-view/volkswagen-t-cross-1-0tsi-85kw-comfortline/Vm9sa3N3YWdlbiBULUNyb3NzIDEuMFRTSSA4NWtXIENvbWZvcnRsaW5l/?price=438700" TargetMode="External"/><Relationship Id="rId120" Type="http://schemas.openxmlformats.org/officeDocument/2006/relationships/hyperlink" Target="https://www.carmag.co.za/car-price-guide-view/honda-hr-v-1-5-comfort/SG9uZGEgSFItViAxLjUgQ29tZm9ydA==/?price=469000" TargetMode="External"/><Relationship Id="rId358" Type="http://schemas.openxmlformats.org/officeDocument/2006/relationships/hyperlink" Target="https://www.carmag.co.za/car-price-guide-view/land-rover-range-rover-evoque-d200-r-dynamic-hse/TGFuZCBSb3ZlciBSYW5nZSBSb3ZlciBFdm9xdWUgRDIwMCBSLUR5bmFtaWMgSFNF/?price=1196500" TargetMode="External"/><Relationship Id="rId565" Type="http://schemas.openxmlformats.org/officeDocument/2006/relationships/hyperlink" Target="https://www.carmag.co.za/car-price-guide-view/land-rover-range-rover-sport-p530-first-edition/TGFuZCBSb3ZlciBSYW5nZSBSb3ZlciBTcG9ydCBQNTMwIEZpcnN0IEVkaXRpb24=/?price=3042500" TargetMode="External"/><Relationship Id="rId162" Type="http://schemas.openxmlformats.org/officeDocument/2006/relationships/hyperlink" Target="https://www.carmag.co.za/car-price-guide-view/honda-hr-v-1-5-executive/SG9uZGEgSFItViAxLjUgRXhlY3V0aXZl/?price=554500" TargetMode="External"/><Relationship Id="rId218" Type="http://schemas.openxmlformats.org/officeDocument/2006/relationships/hyperlink" Target="https://www.carmag.co.za/car-price-guide-view/haval-h6-1-5t-hev-ultra-luxury/SGF2YWwgSDYgMS41VCBIRVYgVWx0cmEgTHV4dXJ5/?price=669950" TargetMode="External"/><Relationship Id="rId425" Type="http://schemas.openxmlformats.org/officeDocument/2006/relationships/hyperlink" Target="https://www.carmag.co.za/car-price-guide-view/jaguar-e-pace-p300e-awd-r-dynamic-hse/SmFndWFyIEUtUGFjZSBQMzAwZSBBV0QgUi1EeW5hbWljIEhTRQ==/?price=1541000" TargetMode="External"/><Relationship Id="rId467" Type="http://schemas.openxmlformats.org/officeDocument/2006/relationships/hyperlink" Target="https://www.carmag.co.za/car-price-guide-view/land-rover-defender-130-d300-x-dynamic-hse/TGFuZCBSb3ZlciBEZWZlbmRlciAxMzAgRDMwMCBYLUR5bmFtaWMgSFNF/?price=1754600" TargetMode="External"/><Relationship Id="rId271" Type="http://schemas.openxmlformats.org/officeDocument/2006/relationships/hyperlink" Target="https://www.carmag.co.za/car-price-guide-view/volkswagen-tiguan-2-0tsi-162kw-4motion-r-line/Vm9sa3N3YWdlbiBUaWd1YW4gMi4wVFNJIDE2MmtXIDRNb3Rpb24gUi1MaW5l/?price=795900" TargetMode="External"/><Relationship Id="rId24" Type="http://schemas.openxmlformats.org/officeDocument/2006/relationships/hyperlink" Target="https://www.carmag.co.za/car-price-guide-view/nissan-magnite-1-0-turbo-acenta/Tmlzc2FuIE1hZ25pdGUgMS4wIFR1cmJvIEFjZW50YQ==/?price=296500" TargetMode="External"/><Relationship Id="rId66" Type="http://schemas.openxmlformats.org/officeDocument/2006/relationships/hyperlink" Target="https://www.carmag.co.za/car-price-guide-view/toyota-corolla-cross-1-8-xi/VG95b3RhIENvcm9sbGEgQ3Jvc3MgMS44IFhp/?price=381200" TargetMode="External"/><Relationship Id="rId131" Type="http://schemas.openxmlformats.org/officeDocument/2006/relationships/hyperlink" Target="https://www.carmag.co.za/car-price-guide-view/toyota-c-hr-1-2t-plus/VG95b3RhIEMtSFIgMS4yVCBQbHVz/?price=484000" TargetMode="External"/><Relationship Id="rId327" Type="http://schemas.openxmlformats.org/officeDocument/2006/relationships/hyperlink" Target="https://www.carmag.co.za/car-price-guide-view/volvo-xc40-p6-recharge-plus/Vm9sdm8gWEM0MCBQNiBSZWNoYXJnZSBQbHVz/?price=1075000" TargetMode="External"/><Relationship Id="rId369" Type="http://schemas.openxmlformats.org/officeDocument/2006/relationships/hyperlink" Target="https://www.carmag.co.za/car-price-guide-view/toyota-land-cruiser-prado-4-0-vx-l/VG95b3RhIExhbmQgQ3J1aXNlciBQcmFkbyA0LjAgVlgtTA==/?price=1233800" TargetMode="External"/><Relationship Id="rId534" Type="http://schemas.openxmlformats.org/officeDocument/2006/relationships/hyperlink" Target="https://www.carmag.co.za/car-price-guide-view/jaguar-i-pace-ev400-awd-r-dynamic-hse/SmFndWFyIEktUGFjZSBFVjQwMCBBV0QgUi1EeW5hbWljIEhTRQ==/?price=2249000" TargetMode="External"/><Relationship Id="rId576" Type="http://schemas.openxmlformats.org/officeDocument/2006/relationships/hyperlink" Target="https://www.carmag.co.za/car-price-guide-view/land-rover-range-rover-d350-autobiography-l-7-seats/TGFuZCBSb3ZlciBSYW5nZSBSb3ZlciBEMzUwIEF1dG9iaW9ncmFwaHkgTCA3IHNlYXRz/?price=3544600" TargetMode="External"/><Relationship Id="rId173" Type="http://schemas.openxmlformats.org/officeDocument/2006/relationships/hyperlink" Target="https://www.carmag.co.za/car-price-guide-view/volkswagen-t-roc-1-4tsi-110kw-design/Vm9sa3N3YWdlbiBULVJvYyAxLjRUU0kgMTEwa1cgRGVzaWdu/?price=572300" TargetMode="External"/><Relationship Id="rId229" Type="http://schemas.openxmlformats.org/officeDocument/2006/relationships/hyperlink" Target="https://www.carmag.co.za/car-price-guide-view/opel-grandland-x-1-6t-elegance/T3BlbCBHcmFuZGxhbmQgWCAxLjZUIEVsZWdhbmNl/?price=701900" TargetMode="External"/><Relationship Id="rId380" Type="http://schemas.openxmlformats.org/officeDocument/2006/relationships/hyperlink" Target="https://www.carmag.co.za/car-price-guide-view/mercedes-benz-glc300-coupe-4matic-amg-line/TWVyY2VkZXMtQmVueiBHTEMzMDAgQ291cMOpIDRNYXRpYyBBTUcgTGluZQ==/?price=1292935" TargetMode="External"/><Relationship Id="rId436" Type="http://schemas.openxmlformats.org/officeDocument/2006/relationships/hyperlink" Target="https://www.carmag.co.za/car-price-guide-view/porsche-macan-gts/UG9yc2NoZSBNYWNhbiBHVFM=/?price=1617000" TargetMode="External"/><Relationship Id="rId240" Type="http://schemas.openxmlformats.org/officeDocument/2006/relationships/hyperlink" Target="https://www.carmag.co.za/car-price-guide-view/audi-q3-sportback-35tfsi-s-line/QXVkaSBRMyBTcG9ydGJhY2sgMzVURlNJIFMgbGluZQ==/?price=734000" TargetMode="External"/><Relationship Id="rId478" Type="http://schemas.openxmlformats.org/officeDocument/2006/relationships/hyperlink" Target="https://www.carmag.co.za/car-price-guide-view/land-rover-defender-90-p400-x/TGFuZCBSb3ZlciBEZWZlbmRlciA5MCBQNDAwIFg=/?price=1799700" TargetMode="External"/><Relationship Id="rId35" Type="http://schemas.openxmlformats.org/officeDocument/2006/relationships/hyperlink" Target="https://www.carmag.co.za/car-price-guide-view/ford-ecosport-1-5tdci-ambiente/Rm9yZCBFY29TcG9ydCAxLjVURENpIEFtYmllbnRl/?price=322500" TargetMode="External"/><Relationship Id="rId77" Type="http://schemas.openxmlformats.org/officeDocument/2006/relationships/hyperlink" Target="https://www.carmag.co.za/car-price-guide-view/renault-duster-1-5dci-zen-auto/UmVuYXVsdCBEdXN0ZXIgMS41ZENpIFplbiBhdXRv/?price=401999" TargetMode="External"/><Relationship Id="rId100" Type="http://schemas.openxmlformats.org/officeDocument/2006/relationships/hyperlink" Target="https://www.carmag.co.za/car-price-guide-view/mazda-cx-3-2-0-dynamic-auto/TWF6ZGEgQ1gtMyAyLjAgRHluYW1pYyBhdXRv/?price=443700" TargetMode="External"/><Relationship Id="rId282" Type="http://schemas.openxmlformats.org/officeDocument/2006/relationships/hyperlink" Target="https://www.carmag.co.za/car-price-guide-view/toyota-fortuner-2-8gd-6-vx/VG95b3RhIEZvcnR1bmVyIDIuOEdELTYgVlg=/?price=837800" TargetMode="External"/><Relationship Id="rId338" Type="http://schemas.openxmlformats.org/officeDocument/2006/relationships/hyperlink" Target="https://www.carmag.co.za/car-price-guide-view/land-rover-discovery-sport-p250-urban-edition/TGFuZCBSb3ZlciBEaXNjb3ZlcnkgU3BvcnQgUDI1MCBVcmJhbiBFZGl0aW9u/?price=1113600" TargetMode="External"/><Relationship Id="rId503" Type="http://schemas.openxmlformats.org/officeDocument/2006/relationships/hyperlink" Target="https://www.carmag.co.za/car-price-guide-view/toyota-land-cruiser-300-3-3d-gr-sport/VG95b3RhIExhbmQgQ3J1aXNlciAzMDAgMy4zRCBHUi1TcG9ydA==/?price=1941700" TargetMode="External"/><Relationship Id="rId545" Type="http://schemas.openxmlformats.org/officeDocument/2006/relationships/hyperlink" Target="https://www.carmag.co.za/car-price-guide-view/audi-e-tron-s-sportback-quattro/QXVkaSBlLXRyb24gUyBTcG9ydGJhY2sgcXVhdHRybw==/?price=2425000" TargetMode="External"/><Relationship Id="rId587" Type="http://schemas.openxmlformats.org/officeDocument/2006/relationships/hyperlink" Target="https://www.carmag.co.za/car-price-guide-view/land-rover-range-rover-p530-first-edition-l/TGFuZCBSb3ZlciBSYW5nZSBSb3ZlciBQNTMwIEZpcnN0IEVkaXRpb24gTA==/?price=3804600" TargetMode="External"/><Relationship Id="rId8" Type="http://schemas.openxmlformats.org/officeDocument/2006/relationships/hyperlink" Target="https://www.carmag.co.za/car-price-guide-view/baic-x25-1-5-fashion/QkFJQyBYMjUgMS41IEZhc2hpb24=/?price=229990" TargetMode="External"/><Relationship Id="rId142" Type="http://schemas.openxmlformats.org/officeDocument/2006/relationships/hyperlink" Target="https://www.carmag.co.za/car-price-guide-view/mazda-cx-5-2-0-active/TWF6ZGEgQ1gtNSAyLjAgQWN0aXZl/?price=515600" TargetMode="External"/><Relationship Id="rId184" Type="http://schemas.openxmlformats.org/officeDocument/2006/relationships/hyperlink" Target="https://www.carmag.co.za/car-price-guide-view/peugeot-3008-1-6t-active/UGV1Z2VvdCAzMDA4IDEuNlQgQWN0aXZl/?price=589900" TargetMode="External"/><Relationship Id="rId391" Type="http://schemas.openxmlformats.org/officeDocument/2006/relationships/hyperlink" Target="https://www.carmag.co.za/car-price-guide-view/volkswagen-touareg-v6-tdi-luxury/Vm9sa3N3YWdlbiBUb3VhcmVnIFY2IFRESSBMdXh1cnk=/?price=1331800" TargetMode="External"/><Relationship Id="rId405" Type="http://schemas.openxmlformats.org/officeDocument/2006/relationships/hyperlink" Target="https://www.carmag.co.za/car-price-guide-view/land-rover-defender-110-d300-se/TGFuZCBSb3ZlciBEZWZlbmRlciAxMTAgRDMwMCBTRQ==/?price=1443600" TargetMode="External"/><Relationship Id="rId447" Type="http://schemas.openxmlformats.org/officeDocument/2006/relationships/hyperlink" Target="https://www.carmag.co.za/car-price-guide-view/land-rover-range-rover-velar-d200-dynamic-hse/TGFuZCBSb3ZlciBSYW5nZSBSb3ZlciBWZWxhciBEMjAwIER5bmFtaWMgSFNF/?price=1653000" TargetMode="External"/><Relationship Id="rId251" Type="http://schemas.openxmlformats.org/officeDocument/2006/relationships/hyperlink" Target="https://www.carmag.co.za/car-price-guide-view/audi-q3-40tfsi-quattro-s-line/QXVkaSBRMyA0MFRGU0kgcXVhdHRybyBTIGxpbmU=/?price=755900" TargetMode="External"/><Relationship Id="rId489" Type="http://schemas.openxmlformats.org/officeDocument/2006/relationships/hyperlink" Target="https://www.carmag.co.za/car-price-guide-view/land-rover-discovery-d300-r-dynamic-hse/TGFuZCBSb3ZlciBEaXNjb3ZlcnkgRDMwMCBSLUR5bmFtaWMgSFNF/?price=1860900" TargetMode="External"/><Relationship Id="rId46" Type="http://schemas.openxmlformats.org/officeDocument/2006/relationships/hyperlink" Target="https://www.carmag.co.za/car-price-guide-view/kia-sonet-1-5-lx-auto/S2lhIFNvbmV0IDEuNSBMWCBhdXRv/?price=337995" TargetMode="External"/><Relationship Id="rId293" Type="http://schemas.openxmlformats.org/officeDocument/2006/relationships/hyperlink" Target="https://www.carmag.co.za/car-price-guide-view/isuzu-mu-x-3-0td-onyx-4x4/SXN1enUgbXUtWCAzLjBURCBPbnl4IDR4NA==/?price=895900" TargetMode="External"/><Relationship Id="rId307" Type="http://schemas.openxmlformats.org/officeDocument/2006/relationships/hyperlink" Target="https://www.carmag.co.za/car-price-guide-view/ford-everest-2-0-biturbo-4x4-sport/Rm9yZCBFdmVyZXN0IDIuMCBCaVR1cmJvIDR4NCBTcG9ydA==/?price=965400" TargetMode="External"/><Relationship Id="rId349" Type="http://schemas.openxmlformats.org/officeDocument/2006/relationships/hyperlink" Target="https://www.carmag.co.za/car-price-guide-view/bmw-x4-xdrive20d/Qk1XIFg0IHhEcml2ZTIwZA==/?price=1152894" TargetMode="External"/><Relationship Id="rId514" Type="http://schemas.openxmlformats.org/officeDocument/2006/relationships/hyperlink" Target="https://www.carmag.co.za/car-price-guide-view/land-rover-range-rover-sport-d350-dynamic-s/TGFuZCBSb3ZlciBSYW5nZSBSb3ZlciBTcG9ydCBEMzUwIER5bmFtaWMgUw==/?price=2020100" TargetMode="External"/><Relationship Id="rId556" Type="http://schemas.openxmlformats.org/officeDocument/2006/relationships/hyperlink" Target="https://www.carmag.co.za/car-price-guide-view/lexus-lx-600-vip/TGV4dXMgTFggNjAwIFZJUA==/?price=2787500" TargetMode="External"/><Relationship Id="rId88" Type="http://schemas.openxmlformats.org/officeDocument/2006/relationships/hyperlink" Target="https://www.carmag.co.za/car-price-guide-view/opel-crossland-1-2t-edition/T3BlbCBDcm9zc2xhbmQgMS4yVCBFZGl0aW9u/?price=419900" TargetMode="External"/><Relationship Id="rId111" Type="http://schemas.openxmlformats.org/officeDocument/2006/relationships/hyperlink" Target="https://www.carmag.co.za/car-price-guide-view/toyota-c-hr-1-2t/VG95b3RhIEMtSFIgMS4yVA==/?price=459500" TargetMode="External"/><Relationship Id="rId153" Type="http://schemas.openxmlformats.org/officeDocument/2006/relationships/hyperlink" Target="https://www.carmag.co.za/car-price-guide-view/mazda-cx-3-2-0-hikari/TWF6ZGEgQ1gtMyAyLjAgSGlrYXJp/?price=532600" TargetMode="External"/><Relationship Id="rId195" Type="http://schemas.openxmlformats.org/officeDocument/2006/relationships/hyperlink" Target="https://www.carmag.co.za/car-price-guide-view/audi-q2-35tfsi-s-line/QXVkaSBRMiAzNVRGU0kgUyBsaW5l/?price=617800" TargetMode="External"/><Relationship Id="rId209" Type="http://schemas.openxmlformats.org/officeDocument/2006/relationships/hyperlink" Target="https://www.carmag.co.za/car-price-guide-view/honda-cr-v-2-0-elegance/SG9uZGEgQ1ItViAyLjAgRWxlZ2FuY2U=/?price=651700" TargetMode="External"/><Relationship Id="rId360" Type="http://schemas.openxmlformats.org/officeDocument/2006/relationships/hyperlink" Target="https://www.carmag.co.za/car-price-guide-view/land-rover-range-rover-evoque-p250-r-dynamic-hse/TGFuZCBSb3ZlciBSYW5nZSBSb3ZlciBFdm9xdWUgUDI1MCBSLUR5bmFtaWMgSFNF/?price=1201900" TargetMode="External"/><Relationship Id="rId416" Type="http://schemas.openxmlformats.org/officeDocument/2006/relationships/hyperlink" Target="https://www.carmag.co.za/car-price-guide-view/land-rover-discovery-sport-p300e-r-dynamic-se/TGFuZCBSb3ZlciBEaXNjb3ZlcnkgU3BvcnQgUDMwMGUgUi1EeW5hbWljIFNF/?price=1494700" TargetMode="External"/><Relationship Id="rId598" Type="http://schemas.openxmlformats.org/officeDocument/2006/relationships/hyperlink" Target="https://www.carmag.co.za/car-price-guide-view/bentley-bentayga-azure/QmVudGxleSBCZW50YXlnYSBBenVyZQ==/?price=5390000" TargetMode="External"/><Relationship Id="rId220" Type="http://schemas.openxmlformats.org/officeDocument/2006/relationships/hyperlink" Target="https://www.carmag.co.za/car-price-guide-view/nissan-qashqai-1-3t-acenta-plus/Tmlzc2FuIFFhc2hxYWkgMS4zVCBBY2VudGEgUGx1cw==/?price=670600" TargetMode="External"/><Relationship Id="rId458" Type="http://schemas.openxmlformats.org/officeDocument/2006/relationships/hyperlink" Target="https://www.carmag.co.za/car-price-guide-view/audi-q8-55tfsi-quattro/QXVkaSBROCA1NVRGU0kgcXVhdHRybw==/?price=1714900" TargetMode="External"/><Relationship Id="rId15" Type="http://schemas.openxmlformats.org/officeDocument/2006/relationships/hyperlink" Target="https://www.carmag.co.za/car-price-guide-view/mahindra-xuv300-1-2t-w4/TWFoaW5kcmEgWFVWMzAwIDEuMlQgVzQ=/?price=259999" TargetMode="External"/><Relationship Id="rId57" Type="http://schemas.openxmlformats.org/officeDocument/2006/relationships/hyperlink" Target="https://www.carmag.co.za/car-price-guide-view/ford-ecosport-1-0t-trend/Rm9yZCBFY29TcG9ydCAxLjBUIFRyZW5k/?price=358700" TargetMode="External"/><Relationship Id="rId262" Type="http://schemas.openxmlformats.org/officeDocument/2006/relationships/hyperlink" Target="https://www.carmag.co.za/car-price-guide-view/peugeot-5008-1-6t-gt/UGV1Z2VvdCA1MDA4IDEuNlQgR1Q=/?price=782900" TargetMode="External"/><Relationship Id="rId318" Type="http://schemas.openxmlformats.org/officeDocument/2006/relationships/hyperlink" Target="https://www.carmag.co.za/car-price-guide-view/mercedes-benz-glb220d-4matic-amg-line/TWVyY2VkZXMtQmVueiBHTEIyMjBkIDRNYXRpYyBBTUcgTGluZQ==/?price=1036388" TargetMode="External"/><Relationship Id="rId525" Type="http://schemas.openxmlformats.org/officeDocument/2006/relationships/hyperlink" Target="https://www.carmag.co.za/car-price-guide-view/audi-e-tron-sportback-55-quattro-s-line/QXVkaSBlLXRyb24gU3BvcnRiYWNrIDU1IHF1YXR0cm8gUyBsaW5l/?price=2115000" TargetMode="External"/><Relationship Id="rId567" Type="http://schemas.openxmlformats.org/officeDocument/2006/relationships/hyperlink" Target="https://www.carmag.co.za/car-price-guide-view/porsche-cayenne-turbo-s-e-hybrid/UG9yc2NoZSBDYXllbm5lIHR1cmJvIFMgZS1oeWJyaWQ=/?price=3277000" TargetMode="External"/><Relationship Id="rId99" Type="http://schemas.openxmlformats.org/officeDocument/2006/relationships/hyperlink" Target="https://www.carmag.co.za/car-price-guide-view/toyota-corolla-cross-1-8-hybrid-xs/VG95b3RhIENvcm9sbGEgQ3Jvc3MgMS44IEh5YnJpZCBYUw==/?price=442400" TargetMode="External"/><Relationship Id="rId122" Type="http://schemas.openxmlformats.org/officeDocument/2006/relationships/hyperlink" Target="https://www.carmag.co.za/car-price-guide-view/chery-tiggo-7-pro-1-5t-executive/Q2hlcnkgVGlnZ28gNyBQcm8gMS41VCBFeGVjdXRpdmU=/?price=472900" TargetMode="External"/><Relationship Id="rId164" Type="http://schemas.openxmlformats.org/officeDocument/2006/relationships/hyperlink" Target="https://www.carmag.co.za/car-price-guide-view/mahindra-xuv700-2-0t-ax7-l/TWFoaW5kcmEgWFVWNzAwIDIuMFQgQVg3IEw=/?price=559999" TargetMode="External"/><Relationship Id="rId371" Type="http://schemas.openxmlformats.org/officeDocument/2006/relationships/hyperlink" Target="https://www.carmag.co.za/car-price-guide-view/mercedes-benz-glc300-4matic/TWVyY2VkZXMtQmVueiBHTEMzMDAgNE1hdGlj/?price=1243323" TargetMode="External"/><Relationship Id="rId427" Type="http://schemas.openxmlformats.org/officeDocument/2006/relationships/hyperlink" Target="https://www.carmag.co.za/car-price-guide-view/porsche-cayenne/UG9yc2NoZSBDYXllbm5l/?price=1545000" TargetMode="External"/><Relationship Id="rId469" Type="http://schemas.openxmlformats.org/officeDocument/2006/relationships/hyperlink" Target="https://www.carmag.co.za/car-price-guide-view/porsche-cayenne-coupe-platinum-edition/UG9yc2NoZSBDYXllbm5lIENvdXDDqSBQbGF0aW51bSBFZGl0aW9u/?price=1760000" TargetMode="External"/><Relationship Id="rId26" Type="http://schemas.openxmlformats.org/officeDocument/2006/relationships/hyperlink" Target="https://www.carmag.co.za/car-price-guide-view/suzuki-vitara-brezza-1-5-gl-s-edition-auto/U3V6dWtpIFZpdGFyYSBCcmV6emEgMS41IEdMIFMtRWRpdGlvbiBhdXRv/?price=301900" TargetMode="External"/><Relationship Id="rId231" Type="http://schemas.openxmlformats.org/officeDocument/2006/relationships/hyperlink" Target="https://www.carmag.co.za/car-price-guide-view/audi-q3-35tfsi-s-line/QXVkaSBRMyAzNVRGU0kgUyBsaW5l/?price=708400" TargetMode="External"/><Relationship Id="rId273" Type="http://schemas.openxmlformats.org/officeDocument/2006/relationships/hyperlink" Target="https://www.carmag.co.za/car-price-guide-view/isuzu-mu-x-3-0td-ls-4x4/SXN1enUgbXUtWCAzLjBURCBMUyA0eDQ=/?price=806400" TargetMode="External"/><Relationship Id="rId329" Type="http://schemas.openxmlformats.org/officeDocument/2006/relationships/hyperlink" Target="https://www.carmag.co.za/car-price-guide-view/toyota-land-cruiser-prado-2-8gd-tx/VG95b3RhIExhbmQgQ3J1aXNlciBQcmFkbyAyLjhHRCBUWA==/?price=1079700" TargetMode="External"/><Relationship Id="rId480" Type="http://schemas.openxmlformats.org/officeDocument/2006/relationships/hyperlink" Target="https://www.carmag.co.za/car-price-guide-view/land-rover-defender-130-p400-first-edition/TGFuZCBSb3ZlciBEZWZlbmRlciAxMzAgUDQwMCBGaXJzdCBFZGl0aW9u/?price=1803500" TargetMode="External"/><Relationship Id="rId536" Type="http://schemas.openxmlformats.org/officeDocument/2006/relationships/hyperlink" Target="https://www.carmag.co.za/car-price-guide-view/land-rover-range-rover-sport-d350-autobiography/TGFuZCBSb3ZlciBSYW5nZSBSb3ZlciBTcG9ydCBEMzUwIEF1dG9iaW9ncmFwaHk=/?price=2271200" TargetMode="External"/><Relationship Id="rId68" Type="http://schemas.openxmlformats.org/officeDocument/2006/relationships/hyperlink" Target="https://www.carmag.co.za/car-price-guide-view/mitsubishi-asx-2-0-es/TWl0c3ViaXNoaSBBU1ggMi4wIEVT/?price=384990" TargetMode="External"/><Relationship Id="rId133" Type="http://schemas.openxmlformats.org/officeDocument/2006/relationships/hyperlink" Target="https://www.carmag.co.za/car-price-guide-view/kia-seltos-1-5crdi-ex/S2lhIFNlbHRvcyAxLjVDUkRpIEVYKw==/?price=493995" TargetMode="External"/><Relationship Id="rId175" Type="http://schemas.openxmlformats.org/officeDocument/2006/relationships/hyperlink" Target="https://www.carmag.co.za/car-price-guide-view/chery-tiggo-8-pro-1-6tgdi-290t-executive/Q2hlcnkgVGlnZ28gOCBQcm8gMS42VEdESSAyOTBUIEV4ZWN1dGl2ZQ==/?price=574900" TargetMode="External"/><Relationship Id="rId340" Type="http://schemas.openxmlformats.org/officeDocument/2006/relationships/hyperlink" Target="https://www.carmag.co.za/car-price-guide-view/land-rover-discovery-sport-d200-r-dynamic-se/TGFuZCBSb3ZlciBEaXNjb3ZlcnkgU3BvcnQgRDIwMCBSLUR5bmFtaWMgU0U=/?price=1125100" TargetMode="External"/><Relationship Id="rId578" Type="http://schemas.openxmlformats.org/officeDocument/2006/relationships/hyperlink" Target="https://www.carmag.co.za/car-price-guide-view/mercedes-amg-g63/TWVyY2VkZXMtQU1HIEc2Mw==/?price=3561868" TargetMode="External"/><Relationship Id="rId200" Type="http://schemas.openxmlformats.org/officeDocument/2006/relationships/hyperlink" Target="https://www.carmag.co.za/car-price-guide-view/citroen-c5-aircross-1-6t-feel/Q2l0cm/Dq24gQzUgQWlyY3Jvc3MgMS42VCBGZWVs/?price=633900" TargetMode="External"/><Relationship Id="rId382" Type="http://schemas.openxmlformats.org/officeDocument/2006/relationships/hyperlink" Target="https://www.carmag.co.za/car-price-guide-view/lexus-rx-350l-ex/TGV4dXMgUlggMzUwTCBFWA==/?price=1295900" TargetMode="External"/><Relationship Id="rId438" Type="http://schemas.openxmlformats.org/officeDocument/2006/relationships/hyperlink" Target="https://www.carmag.co.za/car-price-guide-view/land-rover-discovery-p360-s/TGFuZCBSb3ZlciBEaXNjb3ZlcnkgUDM2MCBT/?price=1618700" TargetMode="External"/><Relationship Id="rId242" Type="http://schemas.openxmlformats.org/officeDocument/2006/relationships/hyperlink" Target="https://www.carmag.co.za/car-price-guide-view/volvo-xc40-b3-plus-bright/Vm9sdm8gWEM0MCBCMyBQbHVzIEJyaWdodA==/?price=736700" TargetMode="External"/><Relationship Id="rId284" Type="http://schemas.openxmlformats.org/officeDocument/2006/relationships/hyperlink" Target="https://www.carmag.co.za/car-price-guide-view/volvo-xc40-b5-awd-plus-dark/Vm9sdm8gWEM0MCBCNSBBV0QgUGx1cyBEYXJr/?price=840000" TargetMode="External"/><Relationship Id="rId491" Type="http://schemas.openxmlformats.org/officeDocument/2006/relationships/hyperlink" Target="https://www.carmag.co.za/car-price-guide-view/jaguar-f-pace-p400e-awd-r-dynamic-hse/SmFndWFyIEYtUGFjZSBQNDAwZSBBV0QgUi1EeW5hbWljIEhTRQ==/?price=1869000" TargetMode="External"/><Relationship Id="rId505" Type="http://schemas.openxmlformats.org/officeDocument/2006/relationships/hyperlink" Target="https://www.carmag.co.za/car-price-guide-view/land-rover-defender-110-p400e-x/TGFuZCBSb3ZlciBEZWZlbmRlciAxMTAgUDQwMGUgWA==/?price=1949300" TargetMode="External"/><Relationship Id="rId37" Type="http://schemas.openxmlformats.org/officeDocument/2006/relationships/hyperlink" Target="https://www.carmag.co.za/car-price-guide-view/nissan-magnite-1-0-turbo-acenta-plus/Tmlzc2FuIE1hZ25pdGUgMS4wIFR1cmJvIEFjZW50YSBQbHVz/?price=326000" TargetMode="External"/><Relationship Id="rId79" Type="http://schemas.openxmlformats.org/officeDocument/2006/relationships/hyperlink" Target="https://www.carmag.co.za/car-price-guide-view/mitsubishi-asx-2-0-es-auto/TWl0c3ViaXNoaSBBU1ggMi4wIEVTIGF1dG8=/?price=404990" TargetMode="External"/><Relationship Id="rId102" Type="http://schemas.openxmlformats.org/officeDocument/2006/relationships/hyperlink" Target="https://www.carmag.co.za/car-price-guide-view/kia-seltos-1-6-ex-auto/S2lhIFNlbHRvcyAxLjYgRVggYXV0bw==/?price=445995" TargetMode="External"/><Relationship Id="rId144" Type="http://schemas.openxmlformats.org/officeDocument/2006/relationships/hyperlink" Target="https://www.carmag.co.za/car-price-guide-view/haval-h6-2-0gdit-luxury/SGF2YWwgSDYgMi4wR0RJVCBMdXh1cnk=/?price=518950" TargetMode="External"/><Relationship Id="rId547" Type="http://schemas.openxmlformats.org/officeDocument/2006/relationships/hyperlink" Target="https://www.carmag.co.za/car-price-guide-view/land-rover-defender-90-v8/TGFuZCBSb3ZlciBEZWZlbmRlciA5MCBWOA==/?price=2528600" TargetMode="External"/><Relationship Id="rId589" Type="http://schemas.openxmlformats.org/officeDocument/2006/relationships/hyperlink" Target="https://www.carmag.co.za/car-price-guide-view/land-rover-range-rover-p530-sv/TGFuZCBSb3ZlciBSYW5nZSBSb3ZlciBQNTMwIFNW/?price=4069600" TargetMode="External"/><Relationship Id="rId90" Type="http://schemas.openxmlformats.org/officeDocument/2006/relationships/hyperlink" Target="https://www.carmag.co.za/car-price-guide-view/mazda-cx-3-2-0-dynamic/TWF6ZGEgQ1gtMyAyLjAgRHluYW1pYw==/?price=427700" TargetMode="External"/><Relationship Id="rId186" Type="http://schemas.openxmlformats.org/officeDocument/2006/relationships/hyperlink" Target="https://www.carmag.co.za/car-price-guide-view/mitsubishi-outlander-2-4-gls/TWl0c3ViaXNoaSBPdXRsYW5kZXIgMi40IEdMUw==/?price=589990" TargetMode="External"/><Relationship Id="rId351" Type="http://schemas.openxmlformats.org/officeDocument/2006/relationships/hyperlink" Target="https://www.carmag.co.za/car-price-guide-view/jaguar-e-pace-d200-awd-r-dynamic-hse/SmFndWFyIEUtUGFjZSBEMjAwIEFXRCBSLUR5bmFtaWMgSFNF/?price=1155000" TargetMode="External"/><Relationship Id="rId393" Type="http://schemas.openxmlformats.org/officeDocument/2006/relationships/hyperlink" Target="https://www.carmag.co.za/car-price-guide-view/land-rover-defender-110-d240-se/TGFuZCBSb3ZlciBEZWZlbmRlciAxMTAgRDI0MCBTRQ==/?price=1345500" TargetMode="External"/><Relationship Id="rId407" Type="http://schemas.openxmlformats.org/officeDocument/2006/relationships/hyperlink" Target="https://www.carmag.co.za/car-price-guide-view/volvo-xc90-b6-awd-plus-dark/Vm9sdm8gWEM5MCBCNiBBV0QgUGx1cyBEYXJr/?price=1463900" TargetMode="External"/><Relationship Id="rId449" Type="http://schemas.openxmlformats.org/officeDocument/2006/relationships/hyperlink" Target="https://www.carmag.co.za/car-price-guide-view/volvo-xc90-t8-recharge-awd-plus-dark/Vm9sdm8gWEM5MCBUOCBSZWNoYXJnZSBBV0QgUGx1cyBEYXJr/?price=1663000" TargetMode="External"/><Relationship Id="rId211" Type="http://schemas.openxmlformats.org/officeDocument/2006/relationships/hyperlink" Target="https://www.carmag.co.za/car-price-guide-view/volkswagen-tiguan-1-4tsi-110kw-life/Vm9sa3N3YWdlbiBUaWd1YW4gMS40VFNJIDExMGtXIExpZmU=/?price=658200" TargetMode="External"/><Relationship Id="rId253" Type="http://schemas.openxmlformats.org/officeDocument/2006/relationships/hyperlink" Target="https://www.carmag.co.za/car-price-guide-view/mini-cooper-s-countryman-untamed-edition/TUlOSSBDb29wZXIgUyBDb3VudHJ5bWFuIFVudGFtZWQgRWRpdGlvbg==/?price=764581" TargetMode="External"/><Relationship Id="rId295" Type="http://schemas.openxmlformats.org/officeDocument/2006/relationships/hyperlink" Target="https://www.carmag.co.za/car-price-guide-view/mercedes-benz-gla200d-amg-line/TWVyY2VkZXMtQmVueiBHTEEyMDBkIEFNRyBMaW5l/?price=912568" TargetMode="External"/><Relationship Id="rId309" Type="http://schemas.openxmlformats.org/officeDocument/2006/relationships/hyperlink" Target="https://www.carmag.co.za/car-price-guide-view/bmw-x3-sdrive18d-m-sport/Qk1XIFgzIHNEcml2ZTE4ZCBNIFNwb3J0/?price=997224" TargetMode="External"/><Relationship Id="rId460" Type="http://schemas.openxmlformats.org/officeDocument/2006/relationships/hyperlink" Target="https://www.carmag.co.za/car-price-guide-view/bmw-x6-xdrive40i/Qk1XIFg2IHhEcml2ZTQwaQ==/?price=1730850" TargetMode="External"/><Relationship Id="rId516" Type="http://schemas.openxmlformats.org/officeDocument/2006/relationships/hyperlink" Target="https://www.carmag.co.za/car-price-guide-view/bmw-x7-xdrive40d-m-sport/Qk1XIFg3IHhEcml2ZTQwZCBNIFNwb3J0/?price=2037457" TargetMode="External"/><Relationship Id="rId48" Type="http://schemas.openxmlformats.org/officeDocument/2006/relationships/hyperlink" Target="https://www.carmag.co.za/car-price-guide-view/mahindra-xuv300-1-2t-w8/TWFoaW5kcmEgWFVWMzAwIDEuMlQgVzg=/?price=343999" TargetMode="External"/><Relationship Id="rId113" Type="http://schemas.openxmlformats.org/officeDocument/2006/relationships/hyperlink" Target="https://www.carmag.co.za/car-price-guide-view/mahindra-scorpio-2-2crde-4wd-s11-adventure/TWFoaW5kcmEgU2NvcnBpbyAyLjJDUkRlIDRXRCBTMTEgQWR2ZW50dXJl/?price=461999" TargetMode="External"/><Relationship Id="rId320" Type="http://schemas.openxmlformats.org/officeDocument/2006/relationships/hyperlink" Target="https://www.carmag.co.za/car-price-guide-view/audi-q5-45tfsi-quattro-s-line/QXVkaSBRNSA0NVRGU0kgcXVhdHRybyBTIGxpbmU=/?price=1048500" TargetMode="External"/><Relationship Id="rId558" Type="http://schemas.openxmlformats.org/officeDocument/2006/relationships/hyperlink" Target="https://www.carmag.co.za/car-price-guide-view/land-rover-range-rover-d350-se/TGFuZCBSb3ZlciBSYW5nZSBSb3ZlciBEMzUwIFNF/?price=2848600" TargetMode="External"/><Relationship Id="rId155" Type="http://schemas.openxmlformats.org/officeDocument/2006/relationships/hyperlink" Target="https://www.carmag.co.za/car-price-guide-view/opel-mokka-1-2t-gs-line/T3BlbCBNb2trYSAxLjJUIEdTIExpbmU=/?price=539900" TargetMode="External"/><Relationship Id="rId197" Type="http://schemas.openxmlformats.org/officeDocument/2006/relationships/hyperlink" Target="https://www.carmag.co.za/car-price-guide-view/volkswagen-tiguan-allspace-1-4tsi-110kw/Vm9sa3N3YWdlbiBUaWd1YW4gQWxsc3BhY2UgMS40VFNJIDExMGtX/?price=629200" TargetMode="External"/><Relationship Id="rId362" Type="http://schemas.openxmlformats.org/officeDocument/2006/relationships/hyperlink" Target="https://www.carmag.co.za/car-price-guide-view/lexus-rx-350-ex/TGV4dXMgUlggMzUwIEVY/?price=1206700" TargetMode="External"/><Relationship Id="rId418" Type="http://schemas.openxmlformats.org/officeDocument/2006/relationships/hyperlink" Target="https://www.carmag.co.za/car-price-guide-view/ineos-grenadier-3-0td/SW5lb3MgR3JlbmFkaWVyIDMuMFRE/?price=1513100" TargetMode="External"/><Relationship Id="rId222" Type="http://schemas.openxmlformats.org/officeDocument/2006/relationships/hyperlink" Target="https://www.carmag.co.za/car-price-guide-view/audi-q3-35tfsi/QXVkaSBRMyAzNVRGU0k=/?price=674400" TargetMode="External"/><Relationship Id="rId264" Type="http://schemas.openxmlformats.org/officeDocument/2006/relationships/hyperlink" Target="https://www.carmag.co.za/car-price-guide-view/bmw-x2-sdrive20i-m-sport/Qk1XIFgyIHNEcml2ZTIwaSBNIFNwb3J0/?price=786527" TargetMode="External"/><Relationship Id="rId471" Type="http://schemas.openxmlformats.org/officeDocument/2006/relationships/hyperlink" Target="https://www.carmag.co.za/car-price-guide-view/mercedes-benz-gle400d-4matic/TWVyY2VkZXMtQmVueiBHTEU0MDBkIDRNYXRpYw==/?price=1761993" TargetMode="External"/><Relationship Id="rId17" Type="http://schemas.openxmlformats.org/officeDocument/2006/relationships/hyperlink" Target="https://www.carmag.co.za/car-price-guide-view/mahindra-xuv300-1-2t-w4-se/TWFoaW5kcmEgWFVWMzAwIDEuMlQgVzQgU0U=/?price=268999" TargetMode="External"/><Relationship Id="rId59" Type="http://schemas.openxmlformats.org/officeDocument/2006/relationships/hyperlink" Target="https://www.carmag.co.za/car-price-guide-view/mahindra-xuv300-1-5td-w8/TWFoaW5kcmEgWFVWMzAwIDEuNVREIFc4/?price=364999" TargetMode="External"/><Relationship Id="rId124" Type="http://schemas.openxmlformats.org/officeDocument/2006/relationships/hyperlink" Target="https://www.carmag.co.za/car-price-guide-view/kia-seltos-1-5crdi-ex-auto/S2lhIFNlbHRvcyAxLjVDUkRpIEVYIGF1dG8=/?price=475995" TargetMode="External"/><Relationship Id="rId527" Type="http://schemas.openxmlformats.org/officeDocument/2006/relationships/hyperlink" Target="https://www.carmag.co.za/car-price-guide-view/porsche-cayenne-e-hybrid-coupe-platinum-edition/UG9yc2NoZSBDYXllbm5lIGUtaHlicmlkIENvdXDDqSBQbGF0aW51bSBFZGl0aW9u/?price=2119000" TargetMode="External"/><Relationship Id="rId569" Type="http://schemas.openxmlformats.org/officeDocument/2006/relationships/hyperlink" Target="https://www.carmag.co.za/car-price-guide-view/porsche-cayenne-turbo-s-e-hybrid-coupe/UG9yc2NoZSBDYXllbm5lIHR1cmJvIFMgZS1oeWJyaWQgQ291cMOp/?price=3358000" TargetMode="External"/><Relationship Id="rId70" Type="http://schemas.openxmlformats.org/officeDocument/2006/relationships/hyperlink" Target="https://www.carmag.co.za/car-price-guide-view/mazda-cx-3-2-0-active/TWF6ZGEgQ1gtMyAyLjAgQWN0aXZl/?price=390500" TargetMode="External"/><Relationship Id="rId166" Type="http://schemas.openxmlformats.org/officeDocument/2006/relationships/hyperlink" Target="https://www.carmag.co.za/car-price-guide-view/fiat-500x-1-4t-sport/RmlhdCA1MDBYIDEuNFQgU3BvcnQ=/?price=560900" TargetMode="External"/><Relationship Id="rId331" Type="http://schemas.openxmlformats.org/officeDocument/2006/relationships/hyperlink" Target="https://www.carmag.co.za/car-price-guide-view/volvo-xc60-b6-awd-plus-bright/Vm9sdm8gWEM2MCBCNiBBV0QgUGx1cyBCcmlnaHQ=/?price=1089800" TargetMode="External"/><Relationship Id="rId373" Type="http://schemas.openxmlformats.org/officeDocument/2006/relationships/hyperlink" Target="https://www.carmag.co.za/car-price-guide-view/bmw-x3-xdrive30d/Qk1XIFgzIHhEcml2ZTMwZA==/?price=1256840" TargetMode="External"/><Relationship Id="rId429" Type="http://schemas.openxmlformats.org/officeDocument/2006/relationships/hyperlink" Target="https://www.carmag.co.za/car-price-guide-view/land-rover-defender-90-d300-x-dynamic-hse/TGFuZCBSb3ZlciBEZWZlbmRlciA5MCBEMzAwIFgtRHluYW1pYyBIU0U=/?price=1561600" TargetMode="External"/><Relationship Id="rId580" Type="http://schemas.openxmlformats.org/officeDocument/2006/relationships/hyperlink" Target="https://www.carmag.co.za/car-price-guide-view/land-rover-range-rover-p510e-autobiography/TGFuZCBSb3ZlciBSYW5nZSBSb3ZlciBQNTEwZSBBdXRvYmlvZ3JhcGh5/?price=3637300" TargetMode="External"/><Relationship Id="rId1" Type="http://schemas.openxmlformats.org/officeDocument/2006/relationships/hyperlink" Target="https://www.carmag.co.za/car-price-guide-view/mahindra-kuv100-nxt-1-2-g80-k2/TWFoaW5kcmEgS1VWMTAwIE54dCAxLjIgRzgwIEsyKw==/?price=172999" TargetMode="External"/><Relationship Id="rId233" Type="http://schemas.openxmlformats.org/officeDocument/2006/relationships/hyperlink" Target="https://www.carmag.co.za/car-price-guide-view/volkswagen-tiguan-allspace-1-4tsi-110kw-life/Vm9sa3N3YWdlbiBUaWd1YW4gQWxsc3BhY2UgMS40VFNJIDExMGtXIExpZmU=/?price=712800" TargetMode="External"/><Relationship Id="rId440" Type="http://schemas.openxmlformats.org/officeDocument/2006/relationships/hyperlink" Target="https://www.carmag.co.za/car-price-guide-view/mercedes-benz-gle300d-4matic/TWVyY2VkZXMtQmVueiBHTEUzMDBkIDRNYXRpYw==/?price=1623789" TargetMode="External"/><Relationship Id="rId28" Type="http://schemas.openxmlformats.org/officeDocument/2006/relationships/hyperlink" Target="https://www.carmag.co.za/car-price-guide-view/nissan-magnite-1-0-turbo-acenta-red-edition/Tmlzc2FuIE1hZ25pdGUgMS4wIFR1cmJvIEFjZW50YSBSZWQgRWRpdGlvbg==/?price=304300" TargetMode="External"/><Relationship Id="rId275" Type="http://schemas.openxmlformats.org/officeDocument/2006/relationships/hyperlink" Target="https://www.carmag.co.za/car-price-guide-view/mitsubishi-pajero-sport-2-4di-d-4x4-exceed/TWl0c3ViaXNoaSBQYWplcm8gU3BvcnQgMi40REktRCA0eDQgRXhjZWVk/?price=809990" TargetMode="External"/><Relationship Id="rId300" Type="http://schemas.openxmlformats.org/officeDocument/2006/relationships/hyperlink" Target="https://www.carmag.co.za/car-price-guide-view/lexus-ux-250h-f-sport/TGV4dXMgVVggMjUwaCBGIFNwb3J0/?price=947500" TargetMode="External"/><Relationship Id="rId482" Type="http://schemas.openxmlformats.org/officeDocument/2006/relationships/hyperlink" Target="https://www.carmag.co.za/car-price-guide-view/land-rover-defender-110-p400e-x-dynamic-se/TGFuZCBSb3ZlciBEZWZlbmRlciAxMTAgUDQwMGUgWC1EeW5hbWljIFNF/?price=1811300" TargetMode="External"/><Relationship Id="rId538" Type="http://schemas.openxmlformats.org/officeDocument/2006/relationships/hyperlink" Target="https://www.carmag.co.za/car-price-guide-view/land-rover-range-rover-sport-d350-first-edition/TGFuZCBSb3ZlciBSYW5nZSBSb3ZlciBTcG9ydCBEMzUwIEZpcnN0IEVkaXRpb24=/?price=2300600" TargetMode="External"/><Relationship Id="rId81" Type="http://schemas.openxmlformats.org/officeDocument/2006/relationships/hyperlink" Target="https://www.carmag.co.za/car-price-guide-view/kia-sonet-1-0t-ex/S2lhIFNvbmV0IDEuMFQgRVgr/?price=409995" TargetMode="External"/><Relationship Id="rId135" Type="http://schemas.openxmlformats.org/officeDocument/2006/relationships/hyperlink" Target="https://www.carmag.co.za/car-price-guide-view/chery-tiggo-8-pro-1-6tgdi-290t-distinction/Q2hlcnkgVGlnZ28gOCBQcm8gMS42VEdESSAyOTBUIERpc3RpbmN0aW9u/?price=496900" TargetMode="External"/><Relationship Id="rId177" Type="http://schemas.openxmlformats.org/officeDocument/2006/relationships/hyperlink" Target="https://www.carmag.co.za/car-price-guide-view/proton-x70-1-5t-executive/UHJvdG9uIFg3MCAxLjVUIEV4ZWN1dGl2ZQ==/?price=579900" TargetMode="External"/><Relationship Id="rId342" Type="http://schemas.openxmlformats.org/officeDocument/2006/relationships/hyperlink" Target="https://www.carmag.co.za/car-price-guide-view/land-rover-discovery-sport-p250-r-dynamic-se/TGFuZCBSb3ZlciBEaXNjb3ZlcnkgU3BvcnQgUDI1MCBSLUR5bmFtaWMgU0U=/?price=1130200" TargetMode="External"/><Relationship Id="rId384" Type="http://schemas.openxmlformats.org/officeDocument/2006/relationships/hyperlink" Target="https://www.carmag.co.za/car-price-guide-view/bmw-ix3-m-sport/Qk1XIGlYMyBNIFNwb3J0/?price=1306400" TargetMode="External"/><Relationship Id="rId591" Type="http://schemas.openxmlformats.org/officeDocument/2006/relationships/hyperlink" Target="https://www.carmag.co.za/car-price-guide-view/maserati-levante-trofeo/TWFzZXJhdGkgTGV2YW50ZSBUcm9mZW8=/?price=4250000" TargetMode="External"/><Relationship Id="rId202" Type="http://schemas.openxmlformats.org/officeDocument/2006/relationships/hyperlink" Target="https://www.carmag.co.za/car-price-guide-view/volkswagen-t-roc-2-0tsi-140kw-4motion-design/Vm9sa3N3YWdlbiBULVJvYyAyLjBUU0kgMTQwa1cgNE1vdGlvbiBEZXNpZ24=/?price=636700" TargetMode="External"/><Relationship Id="rId244" Type="http://schemas.openxmlformats.org/officeDocument/2006/relationships/hyperlink" Target="https://www.carmag.co.za/car-price-guide-view/peugeot-3008-1-6t-gt/UGV1Z2VvdCAzMDA4IDEuNlQgR1Q=/?price=739900" TargetMode="External"/><Relationship Id="rId39" Type="http://schemas.openxmlformats.org/officeDocument/2006/relationships/hyperlink" Target="https://www.carmag.co.za/car-price-guide-view/suzuki-vitara-brezza-1-5-glx-auto/U3V6dWtpIFZpdGFyYSBCcmV6emEgMS41IEdMWCBhdXRv/?price=329900" TargetMode="External"/><Relationship Id="rId286" Type="http://schemas.openxmlformats.org/officeDocument/2006/relationships/hyperlink" Target="https://www.carmag.co.za/car-price-guide-view/volvo-xc40-b5-awd-plus-bright/Vm9sdm8gWEM0MCBCNSBBV0QgUGx1cyBCcmlnaHQ=/?price=847400" TargetMode="External"/><Relationship Id="rId451" Type="http://schemas.openxmlformats.org/officeDocument/2006/relationships/hyperlink" Target="https://www.carmag.co.za/car-price-guide-view/mercedes-benz-eqc-400-4matic-amg-line/TWVyY2VkZXMtQmVueiBFUUMgNDAwIDRNYXRpYyBBTUcgTGluZQ==/?price=1679000" TargetMode="External"/><Relationship Id="rId493" Type="http://schemas.openxmlformats.org/officeDocument/2006/relationships/hyperlink" Target="https://www.carmag.co.za/car-price-guide-view/land-rover-defender-110-p400-x/TGFuZCBSb3ZlciBEZWZlbmRlciAxMTAgUDQwMCBY/?price=1875700" TargetMode="External"/><Relationship Id="rId507" Type="http://schemas.openxmlformats.org/officeDocument/2006/relationships/hyperlink" Target="https://www.carmag.co.za/car-price-guide-view/bmw-x7-xdrive40d-design-pure-excellence/Qk1XIFg3IHhEcml2ZTQwZCBEZXNpZ24gUHVyZSBFeGNlbGxlbmNl/?price=1962457" TargetMode="External"/><Relationship Id="rId549" Type="http://schemas.openxmlformats.org/officeDocument/2006/relationships/hyperlink" Target="https://www.carmag.co.za/car-price-guide-view/audi-rsq8-quattro/QXVkaSBSU1E4IHF1YXR0cm8=/?price=2625000" TargetMode="External"/><Relationship Id="rId50" Type="http://schemas.openxmlformats.org/officeDocument/2006/relationships/hyperlink" Target="https://www.carmag.co.za/car-price-guide-view/chery-tiggo-4-pro-1-5t-elite/Q2hlcnkgVGlnZ28gNCBQcm8gMS41VCBFbGl0ZQ==/?price=346900" TargetMode="External"/><Relationship Id="rId104" Type="http://schemas.openxmlformats.org/officeDocument/2006/relationships/hyperlink" Target="https://www.carmag.co.za/car-price-guide-view/hyundai-creta-1-5-premium-auto/SHl1bmRhaSBDcmV0YSAxLjUgUHJlbWl1bSBhdXRv/?price=448900" TargetMode="External"/><Relationship Id="rId146" Type="http://schemas.openxmlformats.org/officeDocument/2006/relationships/hyperlink" Target="https://www.carmag.co.za/car-price-guide-view/nissan-x-trail-2-0-visia/Tmlzc2FuIFgtVHJhaWwgMi4wIFZpc2lh/?price=520900" TargetMode="External"/><Relationship Id="rId188" Type="http://schemas.openxmlformats.org/officeDocument/2006/relationships/hyperlink" Target="https://www.carmag.co.za/car-price-guide-view/hyundai-grand-creta-1-5d-elite/SHl1bmRhaSBHcmFuZCBDcmV0YSAxLjVEIEVsaXRl/?price=592900" TargetMode="External"/><Relationship Id="rId311" Type="http://schemas.openxmlformats.org/officeDocument/2006/relationships/hyperlink" Target="https://www.carmag.co.za/car-price-guide-view/volvo-xc60-b5-awd-plus-dark/Vm9sdm8gWEM2MCBCNSBBV0QgUGx1cyBEYXJr/?price=999700" TargetMode="External"/><Relationship Id="rId353" Type="http://schemas.openxmlformats.org/officeDocument/2006/relationships/hyperlink" Target="https://www.carmag.co.za/car-price-guide-view/land-rover-discovery-sport-p250-r-dynamic-hse/TGFuZCBSb3ZlciBEaXNjb3ZlcnkgU3BvcnQgUDI1MCBSLUR5bmFtaWMgSFNF/?price=1159600" TargetMode="External"/><Relationship Id="rId395" Type="http://schemas.openxmlformats.org/officeDocument/2006/relationships/hyperlink" Target="https://www.carmag.co.za/car-price-guide-view/jaguar-f-pace-d200-awd-r-dynamic-se/SmFndWFyIEYtUGFjZSBEMjAwIEFXRCBSLUR5bmFtaWMgU0U=/?price=1357000" TargetMode="External"/><Relationship Id="rId409" Type="http://schemas.openxmlformats.org/officeDocument/2006/relationships/hyperlink" Target="https://www.carmag.co.za/car-price-guide-view/land-rover-range-rover-evoque-p300e-bronze-collection/TGFuZCBSb3ZlciBSYW5nZSBSb3ZlciBFdm9xdWUgUDMwMGUgQnJvbnplIENvbGxlY3Rpb24=/?price=1469700" TargetMode="External"/><Relationship Id="rId560" Type="http://schemas.openxmlformats.org/officeDocument/2006/relationships/hyperlink" Target="https://www.carmag.co.za/car-price-guide-view/mercedes-benz-g400d-amg-line/TWVyY2VkZXMtQmVueiBHNDAwZCBBTUcgTGluZQ==/?price=2893333" TargetMode="External"/><Relationship Id="rId92" Type="http://schemas.openxmlformats.org/officeDocument/2006/relationships/hyperlink" Target="https://www.carmag.co.za/car-price-guide-view/hyundai-creta-1-5-premium/SHl1bmRhaSBDcmV0YSAxLjUgUHJlbWl1bQ==/?price=428900" TargetMode="External"/><Relationship Id="rId213" Type="http://schemas.openxmlformats.org/officeDocument/2006/relationships/hyperlink" Target="https://www.carmag.co.za/car-price-guide-view/nissan-x-trail-1-6dci-4x4-tekna/Tmlzc2FuIFgtVHJhaWwgMS42ZENpIDR4NCBUZWtuYQ==/?price=660000" TargetMode="External"/><Relationship Id="rId420" Type="http://schemas.openxmlformats.org/officeDocument/2006/relationships/hyperlink" Target="https://www.carmag.co.za/car-price-guide-view/audi-q7-45tdi-quattro/QXVkaSBRNyA0NVRESSBxdWF0dHJv/?price=1520000" TargetMode="External"/><Relationship Id="rId255" Type="http://schemas.openxmlformats.org/officeDocument/2006/relationships/hyperlink" Target="https://www.carmag.co.za/car-price-guide-view/volkswagen-tiguan-allspace-1-4tsi-110kw-r-line/Vm9sa3N3YWdlbiBUaWd1YW4gQWxsc3BhY2UgMS40VFNJIDExMGtXIFItTGluZQ==/?price=767400" TargetMode="External"/><Relationship Id="rId297" Type="http://schemas.openxmlformats.org/officeDocument/2006/relationships/hyperlink" Target="https://www.carmag.co.za/car-price-guide-view/kia-sorento-2-2crdi-awd-sx/S2lhIFNvcmVudG8gMi4yQ1JEaSBBV0QgU1g=/?price=939995" TargetMode="External"/><Relationship Id="rId462" Type="http://schemas.openxmlformats.org/officeDocument/2006/relationships/hyperlink" Target="https://www.carmag.co.za/car-price-guide-view/land-rover-discovery-d300-r-dynamic-se/TGFuZCBSb3ZlciBEaXNjb3ZlcnkgRDMwMCBSLUR5bmFtaWMgU0U=/?price=1739900" TargetMode="External"/><Relationship Id="rId518" Type="http://schemas.openxmlformats.org/officeDocument/2006/relationships/hyperlink" Target="https://www.carmag.co.za/car-price-guide-view/audi-e-tron-55-quattro-s-line/QXVkaSBlLXRyb24gNTUgcXVhdHRybyBTIGxpbmU=/?price=2045000" TargetMode="External"/><Relationship Id="rId115" Type="http://schemas.openxmlformats.org/officeDocument/2006/relationships/hyperlink" Target="https://www.carmag.co.za/car-price-guide-view/kia-seltos-1-6-ex/S2lhIFNlbHRvcyAxLjYgRVgr/?price=463995" TargetMode="External"/><Relationship Id="rId157" Type="http://schemas.openxmlformats.org/officeDocument/2006/relationships/hyperlink" Target="https://www.carmag.co.za/car-price-guide-view/hyundai-grand-creta-1-5d-executive/SHl1bmRhaSBHcmFuZCBDcmV0YSAxLjVEIEV4ZWN1dGl2ZQ==/?price=540900" TargetMode="External"/><Relationship Id="rId322" Type="http://schemas.openxmlformats.org/officeDocument/2006/relationships/hyperlink" Target="https://www.carmag.co.za/car-price-guide-view/mercedes-benz-glb250-amg-line/TWVyY2VkZXMtQmVueiBHTEIyNTAgQU1HIExpbmU=/?price=1050287" TargetMode="External"/><Relationship Id="rId364" Type="http://schemas.openxmlformats.org/officeDocument/2006/relationships/hyperlink" Target="https://www.carmag.co.za/car-price-guide-view/mercedes-benz-glc220d-coupe-4matic-amg-line/TWVyY2VkZXMtQmVueiBHTEMyMjBkIENvdXDDqSA0TWF0aWMgQU1HIExpbmU=/?price=1209953" TargetMode="External"/><Relationship Id="rId61" Type="http://schemas.openxmlformats.org/officeDocument/2006/relationships/hyperlink" Target="https://www.carmag.co.za/car-price-guide-view/suzuki-jimny-1-5-glx-allgrip/U3V6dWtpIEppbW55IDEuNSBHTFggQWxsR3JpcA==/?price=377900" TargetMode="External"/><Relationship Id="rId199" Type="http://schemas.openxmlformats.org/officeDocument/2006/relationships/hyperlink" Target="https://www.carmag.co.za/car-price-guide-view/haval-h6-gt-2-0gdit-4wd-super-luxury/SGF2YWwgSDYgR1QgMi4wR0RJVCA0V0QgU3VwZXIgTHV4dXJ5/?price=629950" TargetMode="External"/><Relationship Id="rId571" Type="http://schemas.openxmlformats.org/officeDocument/2006/relationships/hyperlink" Target="https://www.carmag.co.za/car-price-guide-view/mercedes-amg-gls63-4matic/TWVyY2VkZXMtQU1HIEdMUzYzIDRNYXRpYys=/?price=3401662" TargetMode="External"/><Relationship Id="rId19" Type="http://schemas.openxmlformats.org/officeDocument/2006/relationships/hyperlink" Target="https://www.carmag.co.za/car-price-guide-view/toyota-urban-cruiser-1-5-xi/VG95b3RhIFVyYmFuIENydWlzZXIgMS41IFhp/?price=283200" TargetMode="External"/><Relationship Id="rId224" Type="http://schemas.openxmlformats.org/officeDocument/2006/relationships/hyperlink" Target="https://www.carmag.co.za/car-price-guide-view/toyota-fortuner-2-4gd-6-auto/VG95b3RhIEZvcnR1bmVyIDIuNEdELTYgYXV0bw==/?price=677450" TargetMode="External"/><Relationship Id="rId266" Type="http://schemas.openxmlformats.org/officeDocument/2006/relationships/hyperlink" Target="https://www.carmag.co.za/car-price-guide-view/bmw-x1-sdrive18i-m-sport/Qk1XIFgxIHNEcml2ZTE4aSBNIFNwb3J0/?price=793045" TargetMode="External"/><Relationship Id="rId431" Type="http://schemas.openxmlformats.org/officeDocument/2006/relationships/hyperlink" Target="https://www.carmag.co.za/car-price-guide-view/lexus-rx-450h-se/TGV4dXMgUlggNDUwaCBTRQ==/?price=1567800" TargetMode="External"/><Relationship Id="rId473" Type="http://schemas.openxmlformats.org/officeDocument/2006/relationships/hyperlink" Target="https://www.carmag.co.za/car-price-guide-view/mercedes-benz-gle450-4matic-amg-line/TWVyY2VkZXMtQmVueiBHTEU0NTAgNE1hdGljIEFNRyBMaW5l/?price=1777320" TargetMode="External"/><Relationship Id="rId529" Type="http://schemas.openxmlformats.org/officeDocument/2006/relationships/hyperlink" Target="https://www.carmag.co.za/car-price-guide-view/mercedes-benz-gls400d-4matic-amg-line/TWVyY2VkZXMtQmVueiBHTFM0MDBkIDRNYXRpYyBBTUcgTGluZQ==/?price=2167343" TargetMode="External"/><Relationship Id="rId30" Type="http://schemas.openxmlformats.org/officeDocument/2006/relationships/hyperlink" Target="https://www.carmag.co.za/car-price-guide-view/suzuki-vitara-brezza-1-5-glx/U3V6dWtpIFZpdGFyYSBCcmV6emEgMS41IEdMWA==/?price=308900" TargetMode="External"/><Relationship Id="rId126" Type="http://schemas.openxmlformats.org/officeDocument/2006/relationships/hyperlink" Target="https://www.carmag.co.za/car-price-guide-view/volkswagen-t-cross-1-0tsi-85kw-highline/Vm9sa3N3YWdlbiBULUNyb3NzIDEuMFRTSSA4NWtXIEhpZ2hsaW5l/?price=478000" TargetMode="External"/><Relationship Id="rId168" Type="http://schemas.openxmlformats.org/officeDocument/2006/relationships/hyperlink" Target="https://www.carmag.co.za/car-price-guide-view/baic-b40-plus-2-0tdi/QkFJQyBCNDAgUGx1cyAyLjBURGk=/?price=564500" TargetMode="External"/><Relationship Id="rId333" Type="http://schemas.openxmlformats.org/officeDocument/2006/relationships/hyperlink" Target="https://www.carmag.co.za/car-price-guide-view/lexus-nx-350h-awd-se/TGV4dXMgTlggMzUwaCBBV0QgU0U=/?price=1104100" TargetMode="External"/><Relationship Id="rId540" Type="http://schemas.openxmlformats.org/officeDocument/2006/relationships/hyperlink" Target="https://www.carmag.co.za/car-price-guide-view/mercedes-benz-gls580-4matic/TWVyY2VkZXMtQmVueiBHTFM1ODAgNE1hdGlj/?price=2338552" TargetMode="External"/><Relationship Id="rId72" Type="http://schemas.openxmlformats.org/officeDocument/2006/relationships/hyperlink" Target="https://www.carmag.co.za/car-price-guide-view/ford-ecosport-1-0t-active/Rm9yZCBFY29TcG9ydCAxLjBUIEFjdGl2ZQ==/?price=393700" TargetMode="External"/><Relationship Id="rId375" Type="http://schemas.openxmlformats.org/officeDocument/2006/relationships/hyperlink" Target="https://www.carmag.co.za/car-price-guide-view/land-rover-range-rover-evoque-d200-autobiography/TGFuZCBSb3ZlciBSYW5nZSBSb3ZlciBFdm9xdWUgRDIwMCBBdXRvYmlvZ3JhcGh5/?price=1268700" TargetMode="External"/><Relationship Id="rId582" Type="http://schemas.openxmlformats.org/officeDocument/2006/relationships/hyperlink" Target="https://www.carmag.co.za/car-price-guide-view/mercedes-maybach-gls600/TWVyY2VkZXMtTWF5YmFjaCBHTFM2MDA=/?price=3652592" TargetMode="External"/><Relationship Id="rId3" Type="http://schemas.openxmlformats.org/officeDocument/2006/relationships/hyperlink" Target="https://www.carmag.co.za/car-price-guide-view/suzuki-ignis-1-2-gl/U3V6dWtpIElnbmlzIDEuMiBHTA==/?price=208900" TargetMode="External"/><Relationship Id="rId235" Type="http://schemas.openxmlformats.org/officeDocument/2006/relationships/hyperlink" Target="https://www.carmag.co.za/car-price-guide-view/volkswagen-tiguan-1-4tsi-110kw-r-line/Vm9sa3N3YWdlbiBUaWd1YW4gMS40VFNJIDExMGtXIFItTGluZQ==/?price=722300" TargetMode="External"/><Relationship Id="rId277" Type="http://schemas.openxmlformats.org/officeDocument/2006/relationships/hyperlink" Target="https://www.carmag.co.za/car-price-guide-view/toyota-land-cruiser-78-4-2d-wagon/VG95b3RhIExhbmQgQ3J1aXNlciA3OCA0LjJEIFdhZ29u/?price=818300" TargetMode="External"/><Relationship Id="rId400" Type="http://schemas.openxmlformats.org/officeDocument/2006/relationships/hyperlink" Target="https://www.carmag.co.za/car-price-guide-view/volvo-xc90-b5-awd-plus-dark/Vm9sdm8gWEM5MCBCNSBBV0QgUGx1cyBEYXJr/?price=1408500" TargetMode="External"/><Relationship Id="rId442" Type="http://schemas.openxmlformats.org/officeDocument/2006/relationships/hyperlink" Target="https://www.carmag.co.za/car-price-guide-view/ineos-grenadier-3-0td-fieldmaster-edition/SW5lb3MgR3JlbmFkaWVyIDMuMFREIEZpZWxkbWFzdGVyIEVkaXRpb24=/?price=1630560" TargetMode="External"/><Relationship Id="rId484" Type="http://schemas.openxmlformats.org/officeDocument/2006/relationships/hyperlink" Target="https://www.carmag.co.za/car-price-guide-view/jaguar-f-pace-p400e-awd-r-dynamic-se/SmFndWFyIEYtUGFjZSBQNDAwZSBBV0QgUi1EeW5hbWljIFNF/?price=1815000" TargetMode="External"/><Relationship Id="rId137" Type="http://schemas.openxmlformats.org/officeDocument/2006/relationships/hyperlink" Target="https://www.carmag.co.za/car-price-guide-view/toyota-c-hr-1-2t-plus-auto/VG95b3RhIEMtSFIgMS4yVCBQbHVzIGF1dG8=/?price=498500" TargetMode="External"/><Relationship Id="rId302" Type="http://schemas.openxmlformats.org/officeDocument/2006/relationships/hyperlink" Target="https://www.carmag.co.za/car-price-guide-view/bmw-x3-sdrive18d/Qk1XIFgzIHNEcml2ZTE4ZA==/?price=957224" TargetMode="External"/><Relationship Id="rId344" Type="http://schemas.openxmlformats.org/officeDocument/2006/relationships/hyperlink" Target="https://www.carmag.co.za/car-price-guide-view/land-rover-range-rover-evoque-p250-bronze-collection/TGFuZCBSb3ZlciBSYW5nZSBSb3ZlciBFdm9xdWUgUDI1MCBCcm9uemUgQ29sbGVjdGlvbg==/?price=1131800" TargetMode="External"/><Relationship Id="rId41" Type="http://schemas.openxmlformats.org/officeDocument/2006/relationships/hyperlink" Target="https://www.carmag.co.za/car-price-guide-view/nissan-magnite-1-0-turbo-acenta-red-edition-auto/Tmlzc2FuIE1hZ25pdGUgMS4wIFR1cmJvIEFjZW50YSBSZWQgRWRpdGlvbiBhdXRv/?price=331800" TargetMode="External"/><Relationship Id="rId83" Type="http://schemas.openxmlformats.org/officeDocument/2006/relationships/hyperlink" Target="https://www.carmag.co.za/car-price-guide-view/mazda-cx-3-2-0-active-auto/TWF6ZGEgQ1gtMyAyLjAgQWN0aXZlIGF1dG8=/?price=412700" TargetMode="External"/><Relationship Id="rId179" Type="http://schemas.openxmlformats.org/officeDocument/2006/relationships/hyperlink" Target="https://www.carmag.co.za/car-price-guide-view/fiat-500x-1-4t-sport-est/RmlhdCA1MDBYIDEuNFQgU3BvcnQgRVNU/?price=580900" TargetMode="External"/><Relationship Id="rId386" Type="http://schemas.openxmlformats.org/officeDocument/2006/relationships/hyperlink" Target="https://www.carmag.co.za/car-price-guide-view/land-rover-defender-90-d240-se/TGFuZCBSb3ZlciBEZWZlbmRlciA5MCBEMjQwIFNF/?price=1311500" TargetMode="External"/><Relationship Id="rId551" Type="http://schemas.openxmlformats.org/officeDocument/2006/relationships/hyperlink" Target="https://www.carmag.co.za/car-price-guide-view/porsche-cayenne-turbo/UG9yc2NoZSBDYXllbm5lIHR1cmJv/?price=2635000" TargetMode="External"/><Relationship Id="rId593" Type="http://schemas.openxmlformats.org/officeDocument/2006/relationships/hyperlink" Target="https://www.carmag.co.za/car-price-guide-view/land-rover-range-rover-d350-sv-l/TGFuZCBSb3ZlciBSYW5nZSBSb3ZlciBEMzUwIFNWIEw=/?price=4426600" TargetMode="External"/><Relationship Id="rId190" Type="http://schemas.openxmlformats.org/officeDocument/2006/relationships/hyperlink" Target="https://www.carmag.co.za/car-price-guide-view/baic-b40-plus-2-0t/QkFJQyBCNDAgUGx1cyAyLjBU/?price=599500" TargetMode="External"/><Relationship Id="rId204" Type="http://schemas.openxmlformats.org/officeDocument/2006/relationships/hyperlink" Target="https://www.carmag.co.za/car-price-guide-view/proton-x70-1-5t-premium-x/UHJvdG9uIFg3MCAxLjVUIFByZW1pdW0gWA==/?price=639900" TargetMode="External"/><Relationship Id="rId246" Type="http://schemas.openxmlformats.org/officeDocument/2006/relationships/hyperlink" Target="https://www.carmag.co.za/car-price-guide-view/mitsubishi-pajero-sport-2-4di-d-aspire/TWl0c3ViaXNoaSBQYWplcm8gU3BvcnQgMi40REktRCBBc3BpcmU=/?price=744990" TargetMode="External"/><Relationship Id="rId288" Type="http://schemas.openxmlformats.org/officeDocument/2006/relationships/hyperlink" Target="https://www.carmag.co.za/car-price-guide-view/toyota-fortuner-2-8gd-6-4x4/VG95b3RhIEZvcnR1bmVyIDIuOEdELTYgNHg0/?price=873500" TargetMode="External"/><Relationship Id="rId411" Type="http://schemas.openxmlformats.org/officeDocument/2006/relationships/hyperlink" Target="https://www.carmag.co.za/car-price-guide-view/land-rover-defender-90-d240-x-dynamic-hse/TGFuZCBSb3ZlciBEZWZlbmRlciA5MCBEMjQwIFgtRHluYW1pYyBIU0U=/?price=1474500" TargetMode="External"/><Relationship Id="rId453" Type="http://schemas.openxmlformats.org/officeDocument/2006/relationships/hyperlink" Target="https://www.carmag.co.za/car-price-guide-view/land-rover-range-rover-velar-d300-dynamic-se/TGFuZCBSb3ZlciBSYW5nZSBSb3ZlciBWZWxhciBEMzAwIER5bmFtaWMgU0U=/?price=1690000" TargetMode="External"/><Relationship Id="rId509" Type="http://schemas.openxmlformats.org/officeDocument/2006/relationships/hyperlink" Target="https://www.carmag.co.za/car-price-guide-view/toyota-land-cruiser-300-3-5t-gr-sport/VG95b3RhIExhbmQgQ3J1aXNlciAzMDAgMy41VCBHUi1TcG9ydA==/?price=1974900" TargetMode="External"/><Relationship Id="rId106" Type="http://schemas.openxmlformats.org/officeDocument/2006/relationships/hyperlink" Target="https://www.carmag.co.za/car-price-guide-view/toyota-corolla-cross-1-8-xr/VG95b3RhIENvcm9sbGEgQ3Jvc3MgMS44IFhS/?price=451300" TargetMode="External"/><Relationship Id="rId313" Type="http://schemas.openxmlformats.org/officeDocument/2006/relationships/hyperlink" Target="https://www.carmag.co.za/car-price-guide-view/mercedes-benz-glb250-progressive/TWVyY2VkZXMtQmVueiBHTEIyNTAgUHJvZ3Jlc3NpdmU=/?price=1012287" TargetMode="External"/><Relationship Id="rId495" Type="http://schemas.openxmlformats.org/officeDocument/2006/relationships/hyperlink" Target="https://www.carmag.co.za/car-price-guide-view/land-rover-range-rover-velar-p400e-dynamic-se/TGFuZCBSb3ZlciBSYW5nZSBSb3ZlciBWZWxhciBQNDAwZSBEeW5hbWljIFNF/?price=1905000" TargetMode="External"/><Relationship Id="rId10" Type="http://schemas.openxmlformats.org/officeDocument/2006/relationships/hyperlink" Target="https://www.carmag.co.za/car-price-guide-view/suzuki-ignis-1-2-glx/U3V6dWtpIElnbmlzIDEuMiBHTFg=/?price=241900" TargetMode="External"/><Relationship Id="rId52" Type="http://schemas.openxmlformats.org/officeDocument/2006/relationships/hyperlink" Target="https://www.carmag.co.za/car-price-guide-view/honda-wr-v-1-2-elegance/SG9uZGEgV1ItViAxLjIgRWxlZ2FuY2U=/?price=355900" TargetMode="External"/><Relationship Id="rId94" Type="http://schemas.openxmlformats.org/officeDocument/2006/relationships/hyperlink" Target="https://www.carmag.co.za/car-price-guide-view/honda-br-v-1-5-comfort-auto/SG9uZGEgQlItViAxLjUgQ29tZm9ydCBhdXRv/?price=434900" TargetMode="External"/><Relationship Id="rId148" Type="http://schemas.openxmlformats.org/officeDocument/2006/relationships/hyperlink" Target="https://www.carmag.co.za/car-price-guide-view/mahindra-xuv700-2-0t-ax7/TWFoaW5kcmEgWFVWNzAwIDIuMFQgQVg3/?price=524999" TargetMode="External"/><Relationship Id="rId355" Type="http://schemas.openxmlformats.org/officeDocument/2006/relationships/hyperlink" Target="https://www.carmag.co.za/car-price-guide-view/toyota-land-cruiser-prado-4-0-vx/VG95b3RhIExhbmQgQ3J1aXNlciBQcmFkbyA0LjAgVlg=/?price=1183600" TargetMode="External"/><Relationship Id="rId397" Type="http://schemas.openxmlformats.org/officeDocument/2006/relationships/hyperlink" Target="https://www.carmag.co.za/car-price-guide-view/mercedes-benz-eqb-350-4matic-progressive/TWVyY2VkZXMtQmVueiBFUUIgMzUwIDRNYXRpYyBQcm9ncmVzc2l2ZQ==/?price=1379000" TargetMode="External"/><Relationship Id="rId520" Type="http://schemas.openxmlformats.org/officeDocument/2006/relationships/hyperlink" Target="https://www.carmag.co.za/car-price-guide-view/bmw-x3-m-competition/Qk1XIFgzIE0gY29tcGV0aXRpb24=/?price=2072618" TargetMode="External"/><Relationship Id="rId562" Type="http://schemas.openxmlformats.org/officeDocument/2006/relationships/hyperlink" Target="https://www.carmag.co.za/car-price-guide-view/land-rover-range-rover-d350-hse/TGFuZCBSb3ZlciBSYW5nZSBSb3ZlciBEMzUwIEhTRQ==/?price=2966600" TargetMode="External"/><Relationship Id="rId215" Type="http://schemas.openxmlformats.org/officeDocument/2006/relationships/hyperlink" Target="https://www.carmag.co.za/car-price-guide-view/kia-sportage-1-6t-gdi-gt-line/S2lhIFNwb3J0YWdlIDEuNlQtR0RpIEdUIExpbmU=/?price=664995" TargetMode="External"/><Relationship Id="rId257" Type="http://schemas.openxmlformats.org/officeDocument/2006/relationships/hyperlink" Target="https://www.carmag.co.za/car-price-guide-view/volkswagen-tiguan-allspace-2-0tsi-132kw-4motion-style/Vm9sa3N3YWdlbiBUaWd1YW4gQWxsc3BhY2UgMi4wVFNJIDEzMmtXIDRNb3Rpb24gU3R5bGU=/?price=774100" TargetMode="External"/><Relationship Id="rId422" Type="http://schemas.openxmlformats.org/officeDocument/2006/relationships/hyperlink" Target="https://www.carmag.co.za/car-price-guide-view/jeep-grand-cherokee-l-3-6-4x4-overland/SmVlcCBHcmFuZCBDaGVyb2tlZSBMIDMuNiA0eDQgT3ZlcmxhbmQ=/?price=1529900" TargetMode="External"/><Relationship Id="rId464" Type="http://schemas.openxmlformats.org/officeDocument/2006/relationships/hyperlink" Target="https://www.carmag.co.za/car-price-guide-view/land-rover-discovery-p360-r-dynamic-se/TGFuZCBSb3ZlciBEaXNjb3ZlcnkgUDM2MCBSLUR5bmFtaWMgU0U=/?price=1740700" TargetMode="External"/><Relationship Id="rId299" Type="http://schemas.openxmlformats.org/officeDocument/2006/relationships/hyperlink" Target="https://www.carmag.co.za/car-price-guide-view/audi-q5-40tdi-quattro/QXVkaSBRNSA0MFRESSBxdWF0dHJv/?price=944700" TargetMode="External"/><Relationship Id="rId63" Type="http://schemas.openxmlformats.org/officeDocument/2006/relationships/hyperlink" Target="https://www.carmag.co.za/car-price-guide-view/suzuki-jimny-1-5-gl-allgrip-auto/U3V6dWtpIEppbW55IDEuNSBHTCBBbGxHcmlwIGF1dG8=/?price=378900" TargetMode="External"/><Relationship Id="rId159" Type="http://schemas.openxmlformats.org/officeDocument/2006/relationships/hyperlink" Target="https://www.carmag.co.za/car-price-guide-view/jeep-renegade-1-4t-limited/SmVlcCBSZW5lZ2FkZSAxLjRUIExpbWl0ZWQ=/?price=549900" TargetMode="External"/><Relationship Id="rId366" Type="http://schemas.openxmlformats.org/officeDocument/2006/relationships/hyperlink" Target="https://www.carmag.co.za/car-price-guide-view/toyota-land-cruiser-prado-2-8gd-vx/VG95b3RhIExhbmQgQ3J1aXNlciBQcmFkbyAyLjhHRCBWWA==/?price=1220000" TargetMode="External"/><Relationship Id="rId573" Type="http://schemas.openxmlformats.org/officeDocument/2006/relationships/hyperlink" Target="https://www.carmag.co.za/car-price-guide-view/land-rover-range-rover-d350-autobiography/TGFuZCBSb3ZlciBSYW5nZSBSb3ZlciBEMzUwIEF1dG9iaW9ncmFwaHk=/?price=3428600" TargetMode="External"/><Relationship Id="rId226" Type="http://schemas.openxmlformats.org/officeDocument/2006/relationships/hyperlink" Target="https://www.carmag.co.za/car-price-guide-view/citroen-c5-aircross-1-6t-shine/Q2l0cm/Dq24gQzUgQWlyY3Jvc3MgMS42VCBTaGluZQ==/?price=683900" TargetMode="External"/><Relationship Id="rId433" Type="http://schemas.openxmlformats.org/officeDocument/2006/relationships/hyperlink" Target="https://www.carmag.co.za/car-price-guide-view/bmw-x5-xdrive30d/Qk1XIFg1IHhEcml2ZTMwZA==/?price=1603510" TargetMode="External"/><Relationship Id="rId74" Type="http://schemas.openxmlformats.org/officeDocument/2006/relationships/hyperlink" Target="https://www.carmag.co.za/car-price-guide-view/hyundai-venue-1-0t-fluid/SHl1bmRhaSBWZW51ZSAxLjBUIEZsdWlk/?price=397900" TargetMode="External"/><Relationship Id="rId377" Type="http://schemas.openxmlformats.org/officeDocument/2006/relationships/hyperlink" Target="https://www.carmag.co.za/car-price-guide-view/land-rover-range-rover-evoque-p250-autobiography/TGFuZCBSb3ZlciBSYW5nZSBSb3ZlciBFdm9xdWUgUDI1MCBBdXRvYmlvZ3JhcGh5/?price=1274100" TargetMode="External"/><Relationship Id="rId500" Type="http://schemas.openxmlformats.org/officeDocument/2006/relationships/hyperlink" Target="https://www.carmag.co.za/car-price-guide-view/land-rover-defender-130-d300-x/TGFuZCBSb3ZlciBEZWZlbmRlciAxMzAgRDMwMCBY/?price=1924600" TargetMode="External"/><Relationship Id="rId584" Type="http://schemas.openxmlformats.org/officeDocument/2006/relationships/hyperlink" Target="https://www.carmag.co.za/car-price-guide-view/land-rover-range-rover-p530-autobiography-l/TGFuZCBSb3ZlciBSYW5nZSBSb3ZlciBQNTMwIEF1dG9iaW9ncmFwaHkgTA==/?price=3695600" TargetMode="External"/><Relationship Id="rId5" Type="http://schemas.openxmlformats.org/officeDocument/2006/relationships/hyperlink" Target="https://www.carmag.co.za/car-price-guide-view/baic-x25-1-5-comfort/QkFJQyBYMjUgMS41IENvbWZvcnQ=/?price=219990" TargetMode="External"/><Relationship Id="rId237" Type="http://schemas.openxmlformats.org/officeDocument/2006/relationships/hyperlink" Target="https://www.carmag.co.za/car-price-guide-view/isuzu-mu-x-3-0td-ls/SXN1enUgbXUtWCAzLjBURCBMUw==/?price=725500" TargetMode="External"/><Relationship Id="rId444" Type="http://schemas.openxmlformats.org/officeDocument/2006/relationships/hyperlink" Target="https://www.carmag.co.za/car-price-guide-view/land-rover-defender-110-p400-x-dynamic-hse/TGFuZCBSb3ZlciBEZWZlbmRlciAxMTAgUDQwMCBYLUR5bmFtaWMgSFNF/?price=1642700" TargetMode="External"/><Relationship Id="rId290" Type="http://schemas.openxmlformats.org/officeDocument/2006/relationships/hyperlink" Target="https://www.carmag.co.za/car-price-guide-view/mercedes-benz-gla200-amg-line/TWVyY2VkZXMtQmVueiBHTEEyMDAgQU1HIExpbmU=/?price=876226" TargetMode="External"/><Relationship Id="rId304" Type="http://schemas.openxmlformats.org/officeDocument/2006/relationships/hyperlink" Target="https://www.carmag.co.za/car-price-guide-view/bmw-x2-m35i/Qk1XIFgyIE0zNWk=/?price=961081" TargetMode="External"/><Relationship Id="rId388" Type="http://schemas.openxmlformats.org/officeDocument/2006/relationships/hyperlink" Target="https://www.carmag.co.za/car-price-guide-view/mercedes-benz-glc300d-4matic/TWVyY2VkZXMtQmVueiBHTEMzMDBkIDRNYXRpYw==/?price=1323894" TargetMode="External"/><Relationship Id="rId511" Type="http://schemas.openxmlformats.org/officeDocument/2006/relationships/hyperlink" Target="https://www.carmag.co.za/car-price-guide-view/jaguar-f-pace-svr/SmFndWFyIEYtUGFjZSBTVlI=/?price=1995000" TargetMode="External"/><Relationship Id="rId85" Type="http://schemas.openxmlformats.org/officeDocument/2006/relationships/hyperlink" Target="https://www.carmag.co.za/car-price-guide-view/haval-jolion-1-5t-luxury-auto/SGF2YWwgSm9saW9uIDEuNVQgTHV4dXJ5IGF1dG8=/?price=414950" TargetMode="External"/><Relationship Id="rId150" Type="http://schemas.openxmlformats.org/officeDocument/2006/relationships/hyperlink" Target="https://www.carmag.co.za/car-price-guide-view/proton-x70-1-5t-standard/UHJvdG9uIFg3MCAxLjVUIFN0YW5kYXJk/?price=529900" TargetMode="External"/><Relationship Id="rId595" Type="http://schemas.openxmlformats.org/officeDocument/2006/relationships/hyperlink" Target="https://www.carmag.co.za/car-price-guide-view/land-rover-range-rover-p530-sv-l/TGFuZCBSb3ZlciBSYW5nZSBSb3ZlciBQNTMwIFNWIEw=/?price=4504600" TargetMode="External"/><Relationship Id="rId248" Type="http://schemas.openxmlformats.org/officeDocument/2006/relationships/hyperlink" Target="https://www.carmag.co.za/car-price-guide-view/mini-cooper-s-countryman/TUlOSSBDb29wZXIgUyBDb3VudHJ5bWFu/?price=748981" TargetMode="External"/><Relationship Id="rId455" Type="http://schemas.openxmlformats.org/officeDocument/2006/relationships/hyperlink" Target="https://www.carmag.co.za/car-price-guide-view/mercedes-benz-gle450-4matic/TWVyY2VkZXMtQmVueiBHTEU0NTAgNE1hdGlj/?price=1701520" TargetMode="External"/><Relationship Id="rId12" Type="http://schemas.openxmlformats.org/officeDocument/2006/relationships/hyperlink" Target="https://www.carmag.co.za/car-price-guide-view/mahindra-kuv100-nxt-1-2-g80-k8/TWFoaW5kcmEgS1VWMTAwIE54dCAxLjIgRzgwIEs4/?price=249999" TargetMode="External"/><Relationship Id="rId108" Type="http://schemas.openxmlformats.org/officeDocument/2006/relationships/hyperlink" Target="https://www.carmag.co.za/car-price-guide-view/peugeot-2008-1-2t-active/UGV1Z2VvdCAyMDA4IDEuMlQgQWN0aXZl/?price=454900" TargetMode="External"/><Relationship Id="rId315" Type="http://schemas.openxmlformats.org/officeDocument/2006/relationships/hyperlink" Target="https://www.carmag.co.za/car-price-guide-view/bmw-x3-sdrive20i/Qk1XIFgzIHNEcml2ZTIwaQ==/?price=1015778" TargetMode="External"/><Relationship Id="rId522" Type="http://schemas.openxmlformats.org/officeDocument/2006/relationships/hyperlink" Target="https://www.carmag.co.za/car-price-guide-view/land-rover-range-rover-sport-p400-dynamic-se/TGFuZCBSb3ZlciBSYW5nZSBSb3ZlciBTcG9ydCBQNDAwIER5bmFtaWMgU0U=/?price=2084500" TargetMode="External"/><Relationship Id="rId96" Type="http://schemas.openxmlformats.org/officeDocument/2006/relationships/hyperlink" Target="https://www.carmag.co.za/car-price-guide-view/chery-tiggo-7-pro-1-5t-distinction/Q2hlcnkgVGlnZ28gNyBQcm8gMS41VCBEaXN0aW5jdGlvbg==/?price=437900" TargetMode="External"/><Relationship Id="rId161" Type="http://schemas.openxmlformats.org/officeDocument/2006/relationships/hyperlink" Target="https://www.carmag.co.za/car-price-guide-view/hyundai-tucson-2-0-premium/SHl1bmRhaSBUdWNzb24gMi4wIFByZW1pdW0=/?price=550900" TargetMode="External"/><Relationship Id="rId399" Type="http://schemas.openxmlformats.org/officeDocument/2006/relationships/hyperlink" Target="https://www.carmag.co.za/car-price-guide-view/mercedes-benz-glc300d-4matic-amg-line/TWVyY2VkZXMtQmVueiBHTEMzMDBkIDRNYXRpYyBBTUcgTGluZQ==/?price=1406487" TargetMode="External"/><Relationship Id="rId259" Type="http://schemas.openxmlformats.org/officeDocument/2006/relationships/hyperlink" Target="https://www.carmag.co.za/car-price-guide-view/volvo-xc40-b4-plus-bright/Vm9sdm8gWEM0MCBCNCBQbHVzIEJyaWdodA==/?price=777900" TargetMode="External"/><Relationship Id="rId466" Type="http://schemas.openxmlformats.org/officeDocument/2006/relationships/hyperlink" Target="https://www.carmag.co.za/car-price-guide-view/bmw-x6-xdrive30d-m-sport/Qk1XIFg2IHhEcml2ZTMwZCBNIFNwb3J0/?price=1751269" TargetMode="External"/><Relationship Id="rId23" Type="http://schemas.openxmlformats.org/officeDocument/2006/relationships/hyperlink" Target="https://www.carmag.co.za/car-price-guide-view/renault-kiger-1-0-turbo-zen/UmVuYXVsdCBLaWdlciAxLjAgVHVyYm8gWmVu/?price=289999" TargetMode="External"/><Relationship Id="rId119" Type="http://schemas.openxmlformats.org/officeDocument/2006/relationships/hyperlink" Target="https://www.carmag.co.za/car-price-guide-view/toyota-corolla-cross-1-8-gr-sport/VG95b3RhIENvcm9sbGEgQ3Jvc3MgMS44IEdSLVNwb3J0/?price=466800" TargetMode="External"/><Relationship Id="rId326" Type="http://schemas.openxmlformats.org/officeDocument/2006/relationships/hyperlink" Target="https://www.carmag.co.za/car-price-guide-view/hyundai-palisade-2-2d-4wd-elite/SHl1bmRhaSBQYWxpc2FkZSAyLjJEIDRXRCBFbGl0ZQ==/?price=1066900" TargetMode="External"/><Relationship Id="rId533" Type="http://schemas.openxmlformats.org/officeDocument/2006/relationships/hyperlink" Target="https://www.carmag.co.za/car-price-guide-view/mercedes-amg-gle53-coupe-4matic/TWVyY2VkZXMtQU1HIEdMRTUzIENvdXDDqSA0TWF0aWMr/?price=2218611" TargetMode="External"/><Relationship Id="rId172" Type="http://schemas.openxmlformats.org/officeDocument/2006/relationships/hyperlink" Target="https://www.carmag.co.za/car-price-guide-view/nissan-x-trail-2-5-4x4-acenta/Tmlzc2FuIFgtVHJhaWwgMi41IDR4NCBBY2VudGE=/?price=572000" TargetMode="External"/><Relationship Id="rId477" Type="http://schemas.openxmlformats.org/officeDocument/2006/relationships/hyperlink" Target="https://www.carmag.co.za/car-price-guide-view/land-rover-defender-130-p400-x-dynamic-hse/TGFuZCBSb3ZlciBEZWZlbmRlciAxMzAgUDQwMCBYLUR5bmFtaWMgSFNF/?price=1798500" TargetMode="External"/><Relationship Id="rId600" Type="http://schemas.openxmlformats.org/officeDocument/2006/relationships/hyperlink" Target="https://www.carmag.co.za/car-price-guide-view/bentley-bentayga-speed/QmVudGxleSBCZW50YXlnYSBTcGVlZA==/?price=5820000" TargetMode="External"/><Relationship Id="rId337" Type="http://schemas.openxmlformats.org/officeDocument/2006/relationships/hyperlink" Target="https://www.carmag.co.za/car-price-guide-view/ford-everest-3-0-v6-4wd-platinum/Rm9yZCBFdmVyZXN0IDMuMCBWNiA0V0QgUGxhdGludW0=/?price=1113100" TargetMode="External"/><Relationship Id="rId34" Type="http://schemas.openxmlformats.org/officeDocument/2006/relationships/hyperlink" Target="https://www.carmag.co.za/car-price-guide-view/kia-sonet-1-5-lx/S2lhIFNvbmV0IDEuNSBMWA==/?price=316995" TargetMode="External"/><Relationship Id="rId544" Type="http://schemas.openxmlformats.org/officeDocument/2006/relationships/hyperlink" Target="https://www.carmag.co.za/car-price-guide-view/lexus-lx-600/TGV4dXMgTFggNjAw/?price=2398000" TargetMode="External"/><Relationship Id="rId183" Type="http://schemas.openxmlformats.org/officeDocument/2006/relationships/hyperlink" Target="https://www.carmag.co.za/car-price-guide-view/volkswagen-tiguan-1-4tsi-110kw/Vm9sa3N3YWdlbiBUaWd1YW4gMS40VFNJIDExMGtX/?price=589000" TargetMode="External"/><Relationship Id="rId390" Type="http://schemas.openxmlformats.org/officeDocument/2006/relationships/hyperlink" Target="https://www.carmag.co.za/car-price-guide-view/jeep-grand-cherokee-l-3-6-4x4-limited/SmVlcCBHcmFuZCBDaGVyb2tlZSBMIDMuNiA0eDQgTGltaXRlZA==/?price=1329900" TargetMode="External"/><Relationship Id="rId404" Type="http://schemas.openxmlformats.org/officeDocument/2006/relationships/hyperlink" Target="https://www.carmag.co.za/car-price-guide-view/land-rover-defender-90-d240-xs-edition/TGFuZCBSb3ZlciBEZWZlbmRlciA5MCBEMjQwIFhTIEVkaXRpb24=/?price=1439500" TargetMode="External"/><Relationship Id="rId250" Type="http://schemas.openxmlformats.org/officeDocument/2006/relationships/hyperlink" Target="https://www.carmag.co.za/car-price-guide-view/bmw-x1-sdrive18i-xline/Qk1XIFgxIHNEcml2ZTE4aSB4TGluZQ==/?price=753045" TargetMode="External"/><Relationship Id="rId488" Type="http://schemas.openxmlformats.org/officeDocument/2006/relationships/hyperlink" Target="https://www.carmag.co.za/car-price-guide-view/porsche-cayenne-gts/UG9yc2NoZSBDYXllbm5lIEdUUw==/?price=1851000" TargetMode="External"/><Relationship Id="rId45" Type="http://schemas.openxmlformats.org/officeDocument/2006/relationships/hyperlink" Target="https://www.carmag.co.za/car-price-guide-view/kia-sonet-1-5-ex/S2lhIFNvbmV0IDEuNSBFWA==/?price=336995" TargetMode="External"/><Relationship Id="rId110" Type="http://schemas.openxmlformats.org/officeDocument/2006/relationships/hyperlink" Target="https://www.carmag.co.za/car-price-guide-view/kia-seltos-1-5crdi-ex/S2lhIFNlbHRvcyAxLjVDUkRpIEVY/?price=457995" TargetMode="External"/><Relationship Id="rId348" Type="http://schemas.openxmlformats.org/officeDocument/2006/relationships/hyperlink" Target="https://www.carmag.co.za/car-price-guide-view/land-rover-range-rover-evoque-p250-r-dynamic-se/TGFuZCBSb3ZlciBSYW5nZSBSb3ZlciBFdm9xdWUgUDI1MCBSLUR5bmFtaWMgU0U=/?price=1148600" TargetMode="External"/><Relationship Id="rId555" Type="http://schemas.openxmlformats.org/officeDocument/2006/relationships/hyperlink" Target="https://www.carmag.co.za/car-price-guide-view/land-rover-range-rover-sport-p510e-autobiography/TGFuZCBSb3ZlciBSYW5nZSBSb3ZlciBTcG9ydCBQNTEwZSBBdXRvYmlvZ3JhcGh5/?price=2780600" TargetMode="External"/><Relationship Id="rId194" Type="http://schemas.openxmlformats.org/officeDocument/2006/relationships/hyperlink" Target="https://www.carmag.co.za/car-price-guide-view/hyundai-kona-1-6t-n-line/SHl1bmRhaSBLb25hIDEuNlQgTiBMaW5l/?price=615900" TargetMode="External"/><Relationship Id="rId208" Type="http://schemas.openxmlformats.org/officeDocument/2006/relationships/hyperlink" Target="https://www.carmag.co.za/car-price-guide-view/baic-b40-plus-2-0t-city-hunter/QkFJQyBCNDAgUGx1cyAyLjBUIENpdHkgSHVudGVy/?price=649500" TargetMode="External"/><Relationship Id="rId415" Type="http://schemas.openxmlformats.org/officeDocument/2006/relationships/hyperlink" Target="https://www.carmag.co.za/car-price-guide-view/land-rover-defender-90-d300-x-dynamic-se/TGFuZCBSb3ZlciBEZWZlbmRlciA5MCBEMzAwIFgtRHluYW1pYyBTRQ==/?price=149460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mag.co.za/car-price-guide-view/mazda-bt-50-1-9td-double-cab-active/TWF6ZGEgQlQtNTAgMS45VEQgRG91YmxlIENhYiBBY3RpdmU=/?price=630400" TargetMode="External"/><Relationship Id="rId21" Type="http://schemas.openxmlformats.org/officeDocument/2006/relationships/hyperlink" Target="https://www.carmag.co.za/car-price-guide-view/mahindra-pik-up-2-2crde-double-cab-s6/TWFoaW5kcmEgUGlrIFVwIDIuMkNSRGUgRG91YmxlIENhYiBTNg==/?price=389999" TargetMode="External"/><Relationship Id="rId42" Type="http://schemas.openxmlformats.org/officeDocument/2006/relationships/hyperlink" Target="https://www.carmag.co.za/car-price-guide-view/isuzu-d-max-1-9td-extended-cab-l/SXN1enUgRC1NYXggMS45VEQgRXh0ZW5kZWQgY2FiIEw=/?price=459800" TargetMode="External"/><Relationship Id="rId63" Type="http://schemas.openxmlformats.org/officeDocument/2006/relationships/hyperlink" Target="https://www.carmag.co.za/car-price-guide-view/jac-t8-2-0cti-double-cab-4wd-lux/SkFDIFQ4IDIuMENUaSBEb3VibGUgQ2FiIDRXRCBMdXg=/?price=499900" TargetMode="External"/><Relationship Id="rId84" Type="http://schemas.openxmlformats.org/officeDocument/2006/relationships/hyperlink" Target="https://www.carmag.co.za/car-price-guide-view/isuzu-d-max-1-9td-double-cab-ls/SXN1enUgRC1NYXggMS45VEQgRG91YmxlIENhYiBMUw==/?price=538900" TargetMode="External"/><Relationship Id="rId138" Type="http://schemas.openxmlformats.org/officeDocument/2006/relationships/hyperlink" Target="https://www.carmag.co.za/car-price-guide-view/toyota-land-cruiser-79-4-0-v6-single-cab/VG95b3RhIExhbmQgQ3J1aXNlciA3OSA0LjAgVjYgU2luZ2xlIENhYg==/?price=706200" TargetMode="External"/><Relationship Id="rId159" Type="http://schemas.openxmlformats.org/officeDocument/2006/relationships/hyperlink" Target="https://www.carmag.co.za/car-price-guide-view/volkswagen-amarok-2-0bitdi-double-cab-highline/Vm9sa3N3YWdlbiBBbWFyb2sgMi4wQmlUREkgRG91YmxlIENhYiBIaWdobGluZQ==/?price=799700" TargetMode="External"/><Relationship Id="rId170" Type="http://schemas.openxmlformats.org/officeDocument/2006/relationships/hyperlink" Target="https://www.carmag.co.za/car-price-guide-view/volkswagen-amarok-2-0bitdi-double-cab-highline-4motion-auto/Vm9sa3N3YWdlbiBBbWFyb2sgMi4wQmlUREkgRG91YmxlIENhYiBIaWdobGluZSA0TW90aW9uIGF1dG8=/?price=863900" TargetMode="External"/><Relationship Id="rId107" Type="http://schemas.openxmlformats.org/officeDocument/2006/relationships/hyperlink" Target="https://www.carmag.co.za/car-price-guide-view/nissan-navara-2-5ddti-double-cab-se-4x4/Tmlzc2FuIE5hdmFyYSAyLjVERFRpIERvdWJsZSBDYWIgU0UgNHg0/?price=601900" TargetMode="External"/><Relationship Id="rId11" Type="http://schemas.openxmlformats.org/officeDocument/2006/relationships/hyperlink" Target="https://www.carmag.co.za/car-price-guide-view/nissan-navara-2-5-single-cab-xe/Tmlzc2FuIE5hdmFyYSAyLjUgU2luZ2xlIENhYiBYRQ==/?price=344900" TargetMode="External"/><Relationship Id="rId32" Type="http://schemas.openxmlformats.org/officeDocument/2006/relationships/hyperlink" Target="https://www.carmag.co.za/car-price-guide-view/toyota-hilux-2-7-single-cab-s/VG95b3RhIEhpbHV4IDIuNyBTaW5nbGUgQ2FiIFM=/?price=433100" TargetMode="External"/><Relationship Id="rId53" Type="http://schemas.openxmlformats.org/officeDocument/2006/relationships/hyperlink" Target="https://www.carmag.co.za/car-price-guide-view/mahindra-pik-up-2-2crde-double-cab-4x4-s6-karoo-auto/TWFoaW5kcmEgUGlrIFVwIDIuMkNSRGUgRG91YmxlIENhYiA0eDQgUzYgS2Fyb28gYXV0bw==/?price=480999" TargetMode="External"/><Relationship Id="rId74" Type="http://schemas.openxmlformats.org/officeDocument/2006/relationships/hyperlink" Target="https://www.carmag.co.za/car-price-guide-view/toyota-hilux-2-4gd-6-xtra-cab-raider/VG95b3RhIEhpbHV4IDIuNEdELTYgWHRyYSBDYWIgUmFpZGVy/?price=521500" TargetMode="External"/><Relationship Id="rId128" Type="http://schemas.openxmlformats.org/officeDocument/2006/relationships/hyperlink" Target="https://www.carmag.co.za/car-price-guide-view/mitsubishi-triton-2-4di-d-double-cab-4x4/TWl0c3ViaXNoaSBUcml0b24gMi40REktRCBEb3VibGUgQ2FiIDR4NA==/?price=679990" TargetMode="External"/><Relationship Id="rId149" Type="http://schemas.openxmlformats.org/officeDocument/2006/relationships/hyperlink" Target="https://www.carmag.co.za/car-price-guide-view/toyota-hilux-2-8gd-6-double-cab-legend/VG95b3RhIEhpbHV4IDIuOEdELTYgRG91YmxlIENhYiBMZWdlbmQ=/?price=757200" TargetMode="External"/><Relationship Id="rId5" Type="http://schemas.openxmlformats.org/officeDocument/2006/relationships/hyperlink" Target="https://www.carmag.co.za/car-price-guide-view/gwm-steed-5-2-0vgt-single-cab-s/R1dNIFN0ZWVkIDUgMi4wVkdUIFNpbmdsZSBDYWIgUw==/?price=299950" TargetMode="External"/><Relationship Id="rId95" Type="http://schemas.openxmlformats.org/officeDocument/2006/relationships/hyperlink" Target="https://www.carmag.co.za/car-price-guide-view/volkswagen-transporter-2-0tdi-81kw-double-cab/Vm9sa3N3YWdlbiBUcmFuc3BvcnRlciAyLjBUREkgODFrVyBEb3VibGUgQ2Fi/?price=562300" TargetMode="External"/><Relationship Id="rId160" Type="http://schemas.openxmlformats.org/officeDocument/2006/relationships/hyperlink" Target="https://www.carmag.co.za/car-price-guide-view/toyota-land-cruiser-79-4-0-v6-double-cab/VG95b3RhIExhbmQgQ3J1aXNlciA3OSA0LjAgVjYgRG91YmxlIENhYg==/?price=801000" TargetMode="External"/><Relationship Id="rId181" Type="http://schemas.openxmlformats.org/officeDocument/2006/relationships/hyperlink" Target="https://www.carmag.co.za/car-price-guide-view/jeep-gladiator-3-6-rubicon-double-cab/SmVlcCBHbGFkaWF0b3IgMy42IFJ1Ymljb24gRG91YmxlIENhYg==/?price=1329900" TargetMode="External"/><Relationship Id="rId22" Type="http://schemas.openxmlformats.org/officeDocument/2006/relationships/hyperlink" Target="https://www.carmag.co.za/car-price-guide-view/isuzu-d-max-gen-6-250-single-cab-fleetside-safety/SXN1enUgRC1NYXggR2VuIDYgMjUwIFNpbmdsZSBDYWIgRmxlZXRzaWRlIHNhZmV0eQ==/?price=394100" TargetMode="External"/><Relationship Id="rId43" Type="http://schemas.openxmlformats.org/officeDocument/2006/relationships/hyperlink" Target="https://www.carmag.co.za/car-price-guide-view/gwm-p-series-2-0td-single-cab-sx-4x4/R1dNIFAtU2VyaWVzIDIuMFREIFNpbmdsZSBDYWIgU1ggNHg0/?price=459950" TargetMode="External"/><Relationship Id="rId64" Type="http://schemas.openxmlformats.org/officeDocument/2006/relationships/hyperlink" Target="https://www.carmag.co.za/car-price-guide-view/nissan-navara-2-5ddti-single-cab-le/Tmlzc2FuIE5hdmFyYSAyLjVERFRpIFNpbmdsZSBDYWIgTEU=/?price=504900" TargetMode="External"/><Relationship Id="rId118" Type="http://schemas.openxmlformats.org/officeDocument/2006/relationships/hyperlink" Target="https://www.carmag.co.za/car-price-guide-view/mahindra-pik-up-2-2crde-double-cab-4x4-s11-karoo-storm/TWFoaW5kcmEgUGlrIFVwIDIuMkNSRGUgRG91YmxlIENhYiA0eDQgUzExIEthcm9vIFN0b3Jt/?price=634999" TargetMode="External"/><Relationship Id="rId139" Type="http://schemas.openxmlformats.org/officeDocument/2006/relationships/hyperlink" Target="https://www.carmag.co.za/car-price-guide-view/toyota-hilux-2-8gd-6-double-cab-raider-auto/VG95b3RhIEhpbHV4IDIuOEdELTYgRG91YmxlIENhYiBSYWlkZXIgYXV0bw==/?price=709000" TargetMode="External"/><Relationship Id="rId85" Type="http://schemas.openxmlformats.org/officeDocument/2006/relationships/hyperlink" Target="https://www.carmag.co.za/car-price-guide-view/toyota-hilux-2-4gd-6-single-cab-4x4-sr/VG95b3RhIEhpbHV4IDIuNEdELTYgU2luZ2xlIENhYiA0eDQgU1I=/?price=540000" TargetMode="External"/><Relationship Id="rId150" Type="http://schemas.openxmlformats.org/officeDocument/2006/relationships/hyperlink" Target="https://www.carmag.co.za/car-price-guide-view/mitsubishi-triton-2-4di-d-double-cab-4x4-xtreme/TWl0c3ViaXNoaSBUcml0b24gMi40REktRCBEb3VibGUgQ2FiIDR4NCBYdHJlbWU=/?price=768990" TargetMode="External"/><Relationship Id="rId171" Type="http://schemas.openxmlformats.org/officeDocument/2006/relationships/hyperlink" Target="https://www.carmag.co.za/car-price-guide-view/ford-ranger-2-0-biturbo-double-cab-wildtrak-4x4/Rm9yZCBSYW5nZXIgMi4wIEJpVHVyYm8gRG91YmxlIENhYiBXaWxkdHJhayA0eDQ=/?price=867700" TargetMode="External"/><Relationship Id="rId12" Type="http://schemas.openxmlformats.org/officeDocument/2006/relationships/hyperlink" Target="https://www.carmag.co.za/car-price-guide-view/gwm-steed-5-2-0vgt-single-cab-sx-4wd/R1dNIFN0ZWVkIDUgMi4wVkdUIFNpbmdsZSBDYWIgU1ggNFdE/?price=344950" TargetMode="External"/><Relationship Id="rId33" Type="http://schemas.openxmlformats.org/officeDocument/2006/relationships/hyperlink" Target="https://www.carmag.co.za/car-price-guide-view/gwm-p-series-2-0td-single-cab-dlx/R1dNIFAtU2VyaWVzIDIuMFREIFNpbmdsZSBDYWIgRExY/?price=434950" TargetMode="External"/><Relationship Id="rId108" Type="http://schemas.openxmlformats.org/officeDocument/2006/relationships/hyperlink" Target="https://www.carmag.co.za/car-price-guide-view/toyota-hilux-2-8gd-6-single-cab-raider-auto/VG95b3RhIEhpbHV4IDIuOEdELTYgU2luZ2xlIENhYiBSYWlkZXIgYXV0bw==/?price=602400" TargetMode="External"/><Relationship Id="rId129" Type="http://schemas.openxmlformats.org/officeDocument/2006/relationships/hyperlink" Target="https://www.carmag.co.za/car-price-guide-view/toyota-hilux-2-4gd-6-double-cab-4x4-raider-auto/VG95b3RhIEhpbHV4IDIuNEdELTYgRG91YmxlIENhYiA0eDQgUmFpZGVyIGF1dG8=/?price=683800" TargetMode="External"/><Relationship Id="rId54" Type="http://schemas.openxmlformats.org/officeDocument/2006/relationships/hyperlink" Target="https://www.carmag.co.za/car-price-guide-view/ford-ranger-2-0-sit-supercab-xl/Rm9yZCBSYW5nZXIgMi4wIFNpVCBTdXBlckNhYiBYTA==/?price=485400" TargetMode="External"/><Relationship Id="rId75" Type="http://schemas.openxmlformats.org/officeDocument/2006/relationships/hyperlink" Target="https://www.carmag.co.za/car-price-guide-view/isuzu-d-max-1-9td-single-cab-l-4x4/SXN1enUgRC1NYXggMS45VEQgU2luZ2xlIENhYiBMIDR4NA==/?price=523900" TargetMode="External"/><Relationship Id="rId96" Type="http://schemas.openxmlformats.org/officeDocument/2006/relationships/hyperlink" Target="https://www.carmag.co.za/car-price-guide-view/gwm-p-series-2-0td-double-cab-ls-4x4/R1dNIFAtU2VyaWVzIDIuMFREIERvdWJsZSBDYWIgTFMgNHg0/?price=565950" TargetMode="External"/><Relationship Id="rId140" Type="http://schemas.openxmlformats.org/officeDocument/2006/relationships/hyperlink" Target="https://www.carmag.co.za/car-price-guide-view/volkswagen-transporter-2-0bitdi-146kw-double-cab-4motion/Vm9sa3N3YWdlbiBUcmFuc3BvcnRlciAyLjBCaVRESSAxNDZrVyBEb3VibGUgQ2FiIDRNb3Rpb24=/?price=713000" TargetMode="External"/><Relationship Id="rId161" Type="http://schemas.openxmlformats.org/officeDocument/2006/relationships/hyperlink" Target="https://www.carmag.co.za/car-price-guide-view/toyota-hilux-2-8gd-6-double-cab-legend-auto/VG95b3RhIEhpbHV4IDIuOEdELTYgRG91YmxlIENhYiBMZWdlbmQgYXV0bw==/?price=802300" TargetMode="External"/><Relationship Id="rId6" Type="http://schemas.openxmlformats.org/officeDocument/2006/relationships/hyperlink" Target="https://www.carmag.co.za/car-price-guide-view/mahindra-pik-up-2-2crde-single-cab-4x4-s4/TWFoaW5kcmEgUGlrIFVwIDIuMkNSRGUgU2luZ2xlIENhYiA0eDQgUzQ=/?price=302999" TargetMode="External"/><Relationship Id="rId23" Type="http://schemas.openxmlformats.org/officeDocument/2006/relationships/hyperlink" Target="https://www.carmag.co.za/car-price-guide-view/gwm-p-series-2-0td-single-cab-sx/R1dNIFAtU2VyaWVzIDIuMFREIFNpbmdsZSBDYWIgU1g=/?price=404950" TargetMode="External"/><Relationship Id="rId119" Type="http://schemas.openxmlformats.org/officeDocument/2006/relationships/hyperlink" Target="https://www.carmag.co.za/car-price-guide-view/nissan-navara-2-5ddti-double-cab-se-plus-4x4/Tmlzc2FuIE5hdmFyYSAyLjVERFRpIERvdWJsZSBDYWIgU0UgUGx1cyA0eDQ=/?price=636500" TargetMode="External"/><Relationship Id="rId44" Type="http://schemas.openxmlformats.org/officeDocument/2006/relationships/hyperlink" Target="https://www.carmag.co.za/car-price-guide-view/mahindra-pik-up-2-2crde-double-cab-4x4-s10/TWFoaW5kcmEgUGlrIFVwIDIuMkNSRGUgRG91YmxlIENhYiA0eDQgUzEw/?price=459999" TargetMode="External"/><Relationship Id="rId60" Type="http://schemas.openxmlformats.org/officeDocument/2006/relationships/hyperlink" Target="https://www.carmag.co.za/car-price-guide-view/isuzu-d-max-1-9td-extended-cab-ls/SXN1enUgRC1NYXggMS45VEQgRXh0ZW5kZWQgY2FiIExT/?price=494000" TargetMode="External"/><Relationship Id="rId65" Type="http://schemas.openxmlformats.org/officeDocument/2006/relationships/hyperlink" Target="https://www.carmag.co.za/car-price-guide-view/gwm-p-series-2-0td-double-cab-dlx-auto/R1dNIFAtU2VyaWVzIDIuMFREIERvdWJsZSBDYWIgRExYIGF1dG8=/?price=504950" TargetMode="External"/><Relationship Id="rId81" Type="http://schemas.openxmlformats.org/officeDocument/2006/relationships/hyperlink" Target="https://www.carmag.co.za/car-price-guide-view/isuzu-d-max-1-9td-double-cab-l-auto/SXN1enUgRC1NYXggMS45VEQgRG91YmxlIENhYiBMIGF1dG8=/?price=530100" TargetMode="External"/><Relationship Id="rId86" Type="http://schemas.openxmlformats.org/officeDocument/2006/relationships/hyperlink" Target="https://www.carmag.co.za/car-price-guide-view/nissan-navara-2-5ddti-single-cab-se-4x4/Tmlzc2FuIE5hdmFyYSAyLjVERFRpIFNpbmdsZSBDYWIgU0UgNHg0/?price=541200" TargetMode="External"/><Relationship Id="rId130" Type="http://schemas.openxmlformats.org/officeDocument/2006/relationships/hyperlink" Target="https://www.carmag.co.za/car-price-guide-view/isuzu-d-max-3-0td-extended-cab-lse-4x4/SXN1enUgRC1NYXggMy4wVEQgRXh0ZW5kZWQgY2FiIExTRSA0eDQ=/?price=687100" TargetMode="External"/><Relationship Id="rId135" Type="http://schemas.openxmlformats.org/officeDocument/2006/relationships/hyperlink" Target="https://www.carmag.co.za/car-price-guide-view/isuzu-d-max-3-0td-double-cab-ls-4x4/SXN1enUgRC1NYXggMy4wVEQgRG91YmxlIENhYiBMUyA0eDQ=/?price=696400" TargetMode="External"/><Relationship Id="rId151" Type="http://schemas.openxmlformats.org/officeDocument/2006/relationships/hyperlink" Target="https://www.carmag.co.za/car-price-guide-view/ford-ranger-2-0-biturbo-supercab-wildtrak-4x4/Rm9yZCBSYW5nZXIgMi4wIEJpVHVyYm8gU3VwZXJDYWIgV2lsZHRyYWsgNHg0/?price=772800" TargetMode="External"/><Relationship Id="rId156" Type="http://schemas.openxmlformats.org/officeDocument/2006/relationships/hyperlink" Target="https://www.carmag.co.za/car-price-guide-view/isuzu-d-max-3-0td-double-cab-lse-4x4/SXN1enUgRC1NYXggMy4wVEQgRG91YmxlIENhYiBMU0UgNHg0/?price=790400" TargetMode="External"/><Relationship Id="rId177" Type="http://schemas.openxmlformats.org/officeDocument/2006/relationships/hyperlink" Target="https://www.carmag.co.za/car-price-guide-view/ford-ranger-3-0-v6-double-cab-wildtrak-4wd/Rm9yZCBSYW5nZXIgMy4wIFY2IERvdWJsZSBDYWIgV2lsZHRyYWsgNFdE/?price=953500" TargetMode="External"/><Relationship Id="rId172" Type="http://schemas.openxmlformats.org/officeDocument/2006/relationships/hyperlink" Target="https://www.carmag.co.za/car-price-guide-view/toyota-hilux-2-8gd-6-double-cab-4x4-gr-sport/VG95b3RhIEhpbHV4IDIuOEdELTYgRG91YmxlIENhYiA0eDQgR1ItU3BvcnQ=/?price=891400" TargetMode="External"/><Relationship Id="rId13" Type="http://schemas.openxmlformats.org/officeDocument/2006/relationships/hyperlink" Target="https://www.carmag.co.za/car-price-guide-view/jac-t6-2-0vvt-double-cab-lux/SkFDIFQ2IDIuMFZWVCBEb3VibGUgQ2FiIEx1eA==/?price=354900" TargetMode="External"/><Relationship Id="rId18" Type="http://schemas.openxmlformats.org/officeDocument/2006/relationships/hyperlink" Target="https://www.carmag.co.za/car-price-guide-view/gwm-steed-5-2-0vgt-double-cab-sx/R1dNIFN0ZWVkIDUgMi4wVkdUIERvdWJsZSBDYWIgU1g=/?price=374950" TargetMode="External"/><Relationship Id="rId39" Type="http://schemas.openxmlformats.org/officeDocument/2006/relationships/hyperlink" Target="https://www.carmag.co.za/car-price-guide-view/mahindra-pik-up-2-2crde-double-cab-4x4-s6-karoo/TWFoaW5kcmEgUGlrIFVwIDIuMkNSRGUgRG91YmxlIENhYiA0eDQgUzYgS2Fyb28=/?price=449999" TargetMode="External"/><Relationship Id="rId109" Type="http://schemas.openxmlformats.org/officeDocument/2006/relationships/hyperlink" Target="https://www.carmag.co.za/car-price-guide-view/toyota-hilux-2-4gd-6-single-cab-4x4-raider-auto/VG95b3RhIEhpbHV4IDIuNEdELTYgU2luZ2xlIENhYiA0eDQgUmFpZGVyIGF1dG8=/?price=605700" TargetMode="External"/><Relationship Id="rId34" Type="http://schemas.openxmlformats.org/officeDocument/2006/relationships/hyperlink" Target="https://www.carmag.co.za/car-price-guide-view/gwm-p-series-2-0td-double-cab-sx/R1dNIFAtU2VyaWVzIDIuMFREIERvdWJsZSBDYWIgU1g=/?price=435950" TargetMode="External"/><Relationship Id="rId50" Type="http://schemas.openxmlformats.org/officeDocument/2006/relationships/hyperlink" Target="https://www.carmag.co.za/car-price-guide-view/volkswagen-transporter-2-0tdi-81kw-single-cab/Vm9sa3N3YWdlbiBUcmFuc3BvcnRlciAyLjBUREkgODFrVyBTaW5nbGUgQ2Fi/?price=477900" TargetMode="External"/><Relationship Id="rId55" Type="http://schemas.openxmlformats.org/officeDocument/2006/relationships/hyperlink" Target="https://www.carmag.co.za/car-price-guide-view/ford-ranger-2-0-sit-double-cab/Rm9yZCBSYW5nZXIgMi4wIFNpVCBEb3VibGUgQ2Fi/?price=486000" TargetMode="External"/><Relationship Id="rId76" Type="http://schemas.openxmlformats.org/officeDocument/2006/relationships/hyperlink" Target="https://www.carmag.co.za/car-price-guide-view/gwm-p-series-2-0td-double-cab-sx-4x4-auto/R1dNIFAtU2VyaWVzIDIuMFREIERvdWJsZSBDYWIgU1ggNHg0IGF1dG8=/?price=524950" TargetMode="External"/><Relationship Id="rId97" Type="http://schemas.openxmlformats.org/officeDocument/2006/relationships/hyperlink" Target="https://www.carmag.co.za/car-price-guide-view/toyota-hilux-2-4gd-6-double-cab-raider/VG95b3RhIEhpbHV4IDIuNEdELTYgRG91YmxlIENhYiBSYWlkZXI=/?price=567600" TargetMode="External"/><Relationship Id="rId104" Type="http://schemas.openxmlformats.org/officeDocument/2006/relationships/hyperlink" Target="https://www.carmag.co.za/car-price-guide-view/isuzu-d-max-1-9td-double-cab-l-4x4/SXN1enUgRC1NYXggMS45VEQgRG91YmxlIENhYiBMIDR4NA==/?price=595300" TargetMode="External"/><Relationship Id="rId120" Type="http://schemas.openxmlformats.org/officeDocument/2006/relationships/hyperlink" Target="https://www.carmag.co.za/car-price-guide-view/toyota-hilux-2-8gd-6-xtra-cab-legend-auto/VG95b3RhIEhpbHV4IDIuOEdELTYgWHRyYSBDYWIgTGVnZW5kIGF1dG8=/?price=638800" TargetMode="External"/><Relationship Id="rId125" Type="http://schemas.openxmlformats.org/officeDocument/2006/relationships/hyperlink" Target="https://www.carmag.co.za/car-price-guide-view/mazda-bt-50-1-9td-double-cab-active-auto/TWF6ZGEgQlQtNTAgMS45VEQgRG91YmxlIENhYiBBY3RpdmUgYXV0bw==/?price=667500" TargetMode="External"/><Relationship Id="rId141" Type="http://schemas.openxmlformats.org/officeDocument/2006/relationships/hyperlink" Target="https://www.carmag.co.za/car-price-guide-view/isuzu-d-max-3-0td-double-cab-ls-4x4-auto/SXN1enUgRC1NYXggMy4wVEQgRG91YmxlIENhYiBMUyA0eDQgYXV0bw==/?price=714700" TargetMode="External"/><Relationship Id="rId146" Type="http://schemas.openxmlformats.org/officeDocument/2006/relationships/hyperlink" Target="https://www.carmag.co.za/car-price-guide-view/nissan-navara-2-5ddti-double-cab-le-4x4-auto/Tmlzc2FuIE5hdmFyYSAyLjVERFRpIERvdWJsZSBDYWIgTEUgNHg0IGF1dG8=/?price=740500" TargetMode="External"/><Relationship Id="rId167" Type="http://schemas.openxmlformats.org/officeDocument/2006/relationships/hyperlink" Target="https://www.carmag.co.za/car-price-guide-view/toyota-hilux-4-0-v6-double-cab-4x4-legend/VG95b3RhIEhpbHV4IDQuMCBWNiBEb3VibGUgQ2FiIDR4NCBMZWdlbmQ=/?price=849200" TargetMode="External"/><Relationship Id="rId7" Type="http://schemas.openxmlformats.org/officeDocument/2006/relationships/hyperlink" Target="https://www.carmag.co.za/car-price-guide-view/gwm-steed-5-2-0vgt-single-cab-s-4wd/R1dNIFN0ZWVkIDUgMi4wVkdUIFNpbmdsZSBDYWIgUyA0V0Q=/?price=330950" TargetMode="External"/><Relationship Id="rId71" Type="http://schemas.openxmlformats.org/officeDocument/2006/relationships/hyperlink" Target="https://www.carmag.co.za/car-price-guide-view/gwm-p-series-2-0td-double-cab-dlx-4x4/R1dNIFAtU2VyaWVzIDIuMFREIERvdWJsZSBDYWIgRExYIDR4NA==/?price=514950" TargetMode="External"/><Relationship Id="rId92" Type="http://schemas.openxmlformats.org/officeDocument/2006/relationships/hyperlink" Target="https://www.carmag.co.za/car-price-guide-view/gwm-p-series-2-0td-double-cab-dlx-4x4-auto/R1dNIFAtU2VyaWVzIDIuMFREIERvdWJsZSBDYWIgRExYIDR4NCBhdXRv/?price=551950" TargetMode="External"/><Relationship Id="rId162" Type="http://schemas.openxmlformats.org/officeDocument/2006/relationships/hyperlink" Target="https://www.carmag.co.za/car-price-guide-view/nissan-navara-2-5ddti-double-cab-pro-4x-4x4/Tmlzc2FuIE5hdmFyYSAyLjVERFRpIERvdWJsZSBDYWIgUFJPLTRYIDR4NA==/?price=812900" TargetMode="External"/><Relationship Id="rId2" Type="http://schemas.openxmlformats.org/officeDocument/2006/relationships/hyperlink" Target="https://www.carmag.co.za/car-price-guide-view/nissan-np200-1-6i-safety-pack-aircon/Tmlzc2FuIE5QMjAwIDEuNmkgc2FmZXR5IHBhY2sgKGFpcmNvbik=/?price=230900" TargetMode="External"/><Relationship Id="rId29" Type="http://schemas.openxmlformats.org/officeDocument/2006/relationships/hyperlink" Target="https://www.carmag.co.za/car-price-guide-view/mahindra-pik-up-2-2crde-double-cab-s10/TWFoaW5kcmEgUGlrIFVwIDIuMkNSRGUgRG91YmxlIENhYiBTMTA=/?price=420999" TargetMode="External"/><Relationship Id="rId24" Type="http://schemas.openxmlformats.org/officeDocument/2006/relationships/hyperlink" Target="https://www.carmag.co.za/car-price-guide-view/gwm-steed-5-2-0vgt-double-cab-sx-4wd/R1dNIFN0ZWVkIDUgMi4wVkdUIERvdWJsZSBDYWIgU1ggNFdE/?price=406950" TargetMode="External"/><Relationship Id="rId40" Type="http://schemas.openxmlformats.org/officeDocument/2006/relationships/hyperlink" Target="https://www.carmag.co.za/car-price-guide-view/isuzu-d-max-1-9td-single-cab-l-auto/SXN1enUgRC1NYXggMS45VEQgU2luZ2xlIENhYiBMIGF1dG8=/?price=450200" TargetMode="External"/><Relationship Id="rId45" Type="http://schemas.openxmlformats.org/officeDocument/2006/relationships/hyperlink" Target="https://www.carmag.co.za/car-price-guide-view/gwm-p-series-2-0td-double-cab-dlx/R1dNIFAtU2VyaWVzIDIuMFREIERvdWJsZSBDYWIgRExY/?price=463950" TargetMode="External"/><Relationship Id="rId66" Type="http://schemas.openxmlformats.org/officeDocument/2006/relationships/hyperlink" Target="https://www.carmag.co.za/car-price-guide-view/mitsubishi-triton-2-4di-d-double-cab-gl/TWl0c3ViaXNoaSBUcml0b24gMi40REktRCBEb3VibGUgQ2FiIEdM/?price=504990" TargetMode="External"/><Relationship Id="rId87" Type="http://schemas.openxmlformats.org/officeDocument/2006/relationships/hyperlink" Target="https://www.carmag.co.za/car-price-guide-view/toyota-hilux-2-4gd-6-xtra-cab-raider-auto/VG95b3RhIEhpbHV4IDIuNEdELTYgWHRyYSBDYWIgUmFpZGVyIGF1dG8=/?price=542100" TargetMode="External"/><Relationship Id="rId110" Type="http://schemas.openxmlformats.org/officeDocument/2006/relationships/hyperlink" Target="https://www.carmag.co.za/car-price-guide-view/ford-ranger-2-0-sit-double-cab-xl-4x4/Rm9yZCBSYW5nZXIgMi4wIFNpVCBEb3VibGUgQ2FiIFhMIDR4NA==/?price=607300" TargetMode="External"/><Relationship Id="rId115" Type="http://schemas.openxmlformats.org/officeDocument/2006/relationships/hyperlink" Target="https://www.carmag.co.za/car-price-guide-view/ford-ranger-2-0-sit-double-cab-xl-4x4-auto/Rm9yZCBSYW5nZXIgMi4wIFNpVCBEb3VibGUgQ2FiIFhMIDR4NCBhdXRv/?price=621900" TargetMode="External"/><Relationship Id="rId131" Type="http://schemas.openxmlformats.org/officeDocument/2006/relationships/hyperlink" Target="https://www.carmag.co.za/car-price-guide-view/ford-ranger-2-0-biturbo-supercab-xlt-4x4/Rm9yZCBSYW5nZXIgMi4wIEJpVHVyYm8gU3VwZXJDYWIgWExUIDR4NA==/?price=688900" TargetMode="External"/><Relationship Id="rId136" Type="http://schemas.openxmlformats.org/officeDocument/2006/relationships/hyperlink" Target="https://www.carmag.co.za/car-price-guide-view/mitsubishi-triton-2-4di-d-double-cab-4x4-auto/TWl0c3ViaXNoaSBUcml0b24gMi40REktRCBEb3VibGUgQ2FiIDR4NCBhdXRv/?price=699990" TargetMode="External"/><Relationship Id="rId157" Type="http://schemas.openxmlformats.org/officeDocument/2006/relationships/hyperlink" Target="https://www.carmag.co.za/car-price-guide-view/toyota-hilux-2-8gd-6-double-cab-4x4-raider-auto/VG95b3RhIEhpbHV4IDIuOEdELTYgRG91YmxlIENhYiA0eDQgUmFpZGVyIGF1dG8=/?price=792600" TargetMode="External"/><Relationship Id="rId178" Type="http://schemas.openxmlformats.org/officeDocument/2006/relationships/hyperlink" Target="https://www.carmag.co.za/car-price-guide-view/volkswagen-amarok-3-0-v6-tdi-double-cab-highline-4motion/Vm9sa3N3YWdlbiBBbWFyb2sgMy4wIFY2IFRESSBEb3VibGUgQ2FiIEhpZ2hsaW5lIDRNb3Rpb24=/?price=1025100" TargetMode="External"/><Relationship Id="rId61" Type="http://schemas.openxmlformats.org/officeDocument/2006/relationships/hyperlink" Target="https://www.carmag.co.za/car-price-guide-view/mahindra-pik-up-2-2crde-double-cab-4x4-s11/TWFoaW5kcmEgUGlrIFVwIDIuMkNSRGUgRG91YmxlIENhYiA0eDQgUzEx/?price=494999" TargetMode="External"/><Relationship Id="rId82" Type="http://schemas.openxmlformats.org/officeDocument/2006/relationships/hyperlink" Target="https://www.carmag.co.za/car-price-guide-view/ford-ranger-2-0-sit-single-cab-xl-4x4/Rm9yZCBSYW5nZXIgMi4wIFNpVCBTaW5nbGUgQ2FiIFhMIDR4NA==/?price=531300" TargetMode="External"/><Relationship Id="rId152" Type="http://schemas.openxmlformats.org/officeDocument/2006/relationships/hyperlink" Target="https://www.carmag.co.za/car-price-guide-view/ford-ranger-2-0-biturbo-double-cab-wildtrak/Rm9yZCBSYW5nZXIgMi4wIEJpVHVyYm8gRG91YmxlIENhYiBXaWxkdHJhaw==/?price=778300" TargetMode="External"/><Relationship Id="rId173" Type="http://schemas.openxmlformats.org/officeDocument/2006/relationships/hyperlink" Target="https://www.carmag.co.za/car-price-guide-view/toyota-hilux-2-8gd-6-double-cab-legend-rs-auto/VG95b3RhIEhpbHV4IDIuOEdELTYgRG91YmxlIENhYiBMZWdlbmQgUlMgYXV0bw==/?price=895000" TargetMode="External"/><Relationship Id="rId19" Type="http://schemas.openxmlformats.org/officeDocument/2006/relationships/hyperlink" Target="https://www.carmag.co.za/car-price-guide-view/toyota-hilux-2-4gd-single-cab-s/VG95b3RhIEhpbHV4IDIuNEdEIFNpbmdsZSBDYWIgUw==/?price=378900" TargetMode="External"/><Relationship Id="rId14" Type="http://schemas.openxmlformats.org/officeDocument/2006/relationships/hyperlink" Target="https://www.carmag.co.za/car-price-guide-view/isuzu-d-max-gen-6-250c-single-cab-fleetside/SXN1enUgRC1NYXggR2VuIDYgMjUwYyBTaW5nbGUgQ2FiIEZsZWV0c2lkZQ==/?price=367500" TargetMode="External"/><Relationship Id="rId30" Type="http://schemas.openxmlformats.org/officeDocument/2006/relationships/hyperlink" Target="https://www.carmag.co.za/car-price-guide-view/mahindra-pik-up-2-2crde-double-cab-4x4-s6/TWFoaW5kcmEgUGlrIFVwIDIuMkNSRGUgRG91YmxlIENhYiA0eDQgUzY=/?price=428999" TargetMode="External"/><Relationship Id="rId35" Type="http://schemas.openxmlformats.org/officeDocument/2006/relationships/hyperlink" Target="https://www.carmag.co.za/car-price-guide-view/mahindra-pik-up-2-2crde-double-cab-s10-karoo/TWFoaW5kcmEgUGlrIFVwIDIuMkNSRGUgRG91YmxlIENhYiBTMTAgS2Fyb28=/?price=440999" TargetMode="External"/><Relationship Id="rId56" Type="http://schemas.openxmlformats.org/officeDocument/2006/relationships/hyperlink" Target="https://www.carmag.co.za/car-price-guide-view/mahindra-pik-up-2-2crde-double-cab-s11-karoo/TWFoaW5kcmEgUGlrIFVwIDIuMkNSRGUgRG91YmxlIENhYiBTMTEgS2Fyb28=/?price=486999" TargetMode="External"/><Relationship Id="rId77" Type="http://schemas.openxmlformats.org/officeDocument/2006/relationships/hyperlink" Target="https://www.carmag.co.za/car-price-guide-view/mahindra-pik-up-2-2crde-double-cab-4x4-s11-karoo/TWFoaW5kcmEgUGlrIFVwIDIuMkNSRGUgRG91YmxlIENhYiA0eDQgUzExIEthcm9v/?price=525999" TargetMode="External"/><Relationship Id="rId100" Type="http://schemas.openxmlformats.org/officeDocument/2006/relationships/hyperlink" Target="https://www.carmag.co.za/car-price-guide-view/toyota-hilux-2-4gd-6-single-cab-4x4-raider/VG95b3RhIEhpbHV4IDIuNEdELTYgU2luZ2xlIENhYiA0eDQgUmFpZGVy/?price=583200" TargetMode="External"/><Relationship Id="rId105" Type="http://schemas.openxmlformats.org/officeDocument/2006/relationships/hyperlink" Target="https://www.carmag.co.za/car-price-guide-view/peugeot-landtrek-1-9td-double-cab-allure/UGV1Z2VvdCBMYW5kdHJlayAxLjlURCBEb3VibGUgQ2FiIEFsbHVyZQ==/?price=599900" TargetMode="External"/><Relationship Id="rId126" Type="http://schemas.openxmlformats.org/officeDocument/2006/relationships/hyperlink" Target="https://www.carmag.co.za/car-price-guide-view/ford-ranger-2-0-sit-double-cab-xlt-4x4/Rm9yZCBSYW5nZXIgMi4wIFNpVCBEb3VibGUgQ2FiIFhMVCA0eDQ=/?price=669800" TargetMode="External"/><Relationship Id="rId147" Type="http://schemas.openxmlformats.org/officeDocument/2006/relationships/hyperlink" Target="https://www.carmag.co.za/car-price-guide-view/toyota-land-cruiser-79-4-2d-single-cab/VG95b3RhIExhbmQgQ3J1aXNlciA3OSA0LjJEIFNpbmdsZSBDYWI=/?price=750900" TargetMode="External"/><Relationship Id="rId168" Type="http://schemas.openxmlformats.org/officeDocument/2006/relationships/hyperlink" Target="https://www.carmag.co.za/car-price-guide-view/toyota-hilux-2-8gd-6-double-cab-4x4-legend-auto/VG95b3RhIEhpbHV4IDIuOEdELTYgRG91YmxlIENhYiA0eDQgTGVnZW5kIGF1dG8=/?price=849600" TargetMode="External"/><Relationship Id="rId8" Type="http://schemas.openxmlformats.org/officeDocument/2006/relationships/hyperlink" Target="https://www.carmag.co.za/car-price-guide-view/mahindra-pik-up-2-2crde-single-cab-s6/TWFoaW5kcmEgUGlrIFVwIDIuMkNSRGUgU2luZ2xlIENhYiBTNg==/?price=331999" TargetMode="External"/><Relationship Id="rId51" Type="http://schemas.openxmlformats.org/officeDocument/2006/relationships/hyperlink" Target="https://www.carmag.co.za/car-price-guide-view/gwm-p-series-2-0td-double-cab-sx-auto/R1dNIFAtU2VyaWVzIDIuMFREIERvdWJsZSBDYWIgU1ggYXV0bw==/?price=477950" TargetMode="External"/><Relationship Id="rId72" Type="http://schemas.openxmlformats.org/officeDocument/2006/relationships/hyperlink" Target="https://www.carmag.co.za/car-price-guide-view/gwm-p-series-2-0td-double-cab-ls/R1dNIFAtU2VyaWVzIDIuMFREIERvdWJsZSBDYWIgTFM=/?price=515950" TargetMode="External"/><Relationship Id="rId93" Type="http://schemas.openxmlformats.org/officeDocument/2006/relationships/hyperlink" Target="https://www.carmag.co.za/car-price-guide-view/isuzu-d-max-1-9td-double-cab-ls-auto/SXN1enUgRC1NYXggMS45VEQgRG91YmxlIENhYiBMUyBhdXRv/?price=556000" TargetMode="External"/><Relationship Id="rId98" Type="http://schemas.openxmlformats.org/officeDocument/2006/relationships/hyperlink" Target="https://www.carmag.co.za/car-price-guide-view/nissan-navara-2-5ddti-double-cab-se-plus-auto/Tmlzc2FuIE5hdmFyYSAyLjVERFRpIERvdWJsZSBDYWIgU0UgUGx1cyBhdXRv/?price=578900" TargetMode="External"/><Relationship Id="rId121" Type="http://schemas.openxmlformats.org/officeDocument/2006/relationships/hyperlink" Target="https://www.carmag.co.za/car-price-guide-view/gwm-p-series-2-0td-double-cab-lt-4x4/R1dNIFAtU2VyaWVzIDIuMFREIERvdWJsZSBDYWIgTFQgNHg0/?price=640950" TargetMode="External"/><Relationship Id="rId142" Type="http://schemas.openxmlformats.org/officeDocument/2006/relationships/hyperlink" Target="https://www.carmag.co.za/car-price-guide-view/toyota-hilux-2-8gd-6-xtra-cab-4x4-legend-auto/VG95b3RhIEhpbHV4IDIuOEdELTYgWHRyYSBDYWIgNHg0IExlZ2VuZCBhdXRv/?price=719400" TargetMode="External"/><Relationship Id="rId163" Type="http://schemas.openxmlformats.org/officeDocument/2006/relationships/hyperlink" Target="https://www.carmag.co.za/car-price-guide-view/toyota-hilux-2-8gd-6-double-cab-4x4-legend/VG95b3RhIEhpbHV4IDIuOEdELTYgRG91YmxlIENhYiA0eDQgTGVnZW5k/?price=813900" TargetMode="External"/><Relationship Id="rId3" Type="http://schemas.openxmlformats.org/officeDocument/2006/relationships/hyperlink" Target="https://www.carmag.co.za/car-price-guide-view/gwm-steed-5-2-2mpi-single-cab-workhorse/R1dNIFN0ZWVkIDUgMi4yTVBpIFNpbmdsZSBDYWIgV29ya2hvcnNl/?price=233950" TargetMode="External"/><Relationship Id="rId25" Type="http://schemas.openxmlformats.org/officeDocument/2006/relationships/hyperlink" Target="https://www.carmag.co.za/car-price-guide-view/mahindra-pik-up-2-2crde-double-cab-s6-karoo/TWFoaW5kcmEgUGlrIFVwIDIuMkNSRGUgRG91YmxlIENhYiBTNiBLYXJvbw==/?price=410999" TargetMode="External"/><Relationship Id="rId46" Type="http://schemas.openxmlformats.org/officeDocument/2006/relationships/hyperlink" Target="https://www.carmag.co.za/car-price-guide-view/ford-ranger-2-0-sit-single-cab-xl/Rm9yZCBSYW5nZXIgMi4wIFNpVCBTaW5nbGUgQ2FiIFhM/?price=464200" TargetMode="External"/><Relationship Id="rId67" Type="http://schemas.openxmlformats.org/officeDocument/2006/relationships/hyperlink" Target="https://www.carmag.co.za/car-price-guide-view/toyota-hilux-2-4gd-6-single-cab-raider/VG95b3RhIEhpbHV4IDIuNEdELTYgU2luZ2xlIENhYiBSYWlkZXI=/?price=506900" TargetMode="External"/><Relationship Id="rId116" Type="http://schemas.openxmlformats.org/officeDocument/2006/relationships/hyperlink" Target="https://www.carmag.co.za/car-price-guide-view/mahindra-pik-up-2-2crde-double-cab-4x4-s11-karoo-dusk/TWFoaW5kcmEgUGlrIFVwIDIuMkNSRGUgRG91YmxlIENhYiA0eDQgUzExIEthcm9vIER1c2s=/?price=624999" TargetMode="External"/><Relationship Id="rId137" Type="http://schemas.openxmlformats.org/officeDocument/2006/relationships/hyperlink" Target="https://www.carmag.co.za/car-price-guide-view/ford-ranger-2-0-biturbo-double-cab-xlt/Rm9yZCBSYW5nZXIgMi4wIEJpVHVyYm8gRG91YmxlIENhYiBYTFQ=/?price=702300" TargetMode="External"/><Relationship Id="rId158" Type="http://schemas.openxmlformats.org/officeDocument/2006/relationships/hyperlink" Target="https://www.carmag.co.za/car-price-guide-view/volkswagen-amarok-2-0bitdi-double-cab-highline-4motion/Vm9sa3N3YWdlbiBBbWFyb2sgMi4wQmlUREkgRG91YmxlIENhYiBIaWdobGluZSA0TW90aW9u/?price=794200" TargetMode="External"/><Relationship Id="rId20" Type="http://schemas.openxmlformats.org/officeDocument/2006/relationships/hyperlink" Target="https://www.carmag.co.za/car-price-guide-view/nissan-navara-2-5ddti-single-cab-xe/Tmlzc2FuIE5hdmFyYSAyLjVERFRpIFNpbmdsZSBDYWIgWEU=/?price=387200" TargetMode="External"/><Relationship Id="rId41" Type="http://schemas.openxmlformats.org/officeDocument/2006/relationships/hyperlink" Target="https://www.carmag.co.za/car-price-guide-view/mahindra-pik-up-2-2crde-double-cab-s11/TWFoaW5kcmEgUGlrIFVwIDIuMkNSRGUgRG91YmxlIENhYiBTMTE=/?price=455999" TargetMode="External"/><Relationship Id="rId62" Type="http://schemas.openxmlformats.org/officeDocument/2006/relationships/hyperlink" Target="https://www.carmag.co.za/car-price-guide-view/isuzu-d-max-gen-6-250-double-cab-hi-ride/SXN1enUgRC1NYXggR2VuIDYgMjUwIERvdWJsZSBDYWIgSGktUmlkZQ==/?price=496900" TargetMode="External"/><Relationship Id="rId83" Type="http://schemas.openxmlformats.org/officeDocument/2006/relationships/hyperlink" Target="https://www.carmag.co.za/car-price-guide-view/toyota-hilux-2-4gd-6-double-cab-sr/VG95b3RhIEhpbHV4IDIuNEdELTYgRG91YmxlIENhYiBTUg==/?price=534400" TargetMode="External"/><Relationship Id="rId88" Type="http://schemas.openxmlformats.org/officeDocument/2006/relationships/hyperlink" Target="https://www.carmag.co.za/car-price-guide-view/nissan-navara-2-5ddti-double-cab-se-auto/Tmlzc2FuIE5hdmFyYSAyLjVERFRpIERvdWJsZSBDYWIgU0UgYXV0bw==/?price=542900" TargetMode="External"/><Relationship Id="rId111" Type="http://schemas.openxmlformats.org/officeDocument/2006/relationships/hyperlink" Target="https://www.carmag.co.za/car-price-guide-view/isuzu-d-max-3-0td-extended-cab-lse/SXN1enUgRC1NYXggMy4wVEQgRXh0ZW5kZWQgY2FiIExTRQ==/?price=610000" TargetMode="External"/><Relationship Id="rId132" Type="http://schemas.openxmlformats.org/officeDocument/2006/relationships/hyperlink" Target="https://www.carmag.co.za/car-price-guide-view/mitsubishi-triton-2-4di-d-double-cab-xtreme/TWl0c3ViaXNoaSBUcml0b24gMi40REktRCBEb3VibGUgQ2FiIFh0cmVtZQ==/?price=688990" TargetMode="External"/><Relationship Id="rId153" Type="http://schemas.openxmlformats.org/officeDocument/2006/relationships/hyperlink" Target="https://www.carmag.co.za/car-price-guide-view/isuzu-d-max-3-0td-double-cab-v-cross/SXN1enUgRC1NYXggMy4wVEQgRG91YmxlIENhYiBWLUNyb3Nz/?price=779200" TargetMode="External"/><Relationship Id="rId174" Type="http://schemas.openxmlformats.org/officeDocument/2006/relationships/hyperlink" Target="https://www.carmag.co.za/car-price-guide-view/toyota-hilux-2-8gd-6-double-cab-4x4-legend-rs/VG95b3RhIEhpbHV4IDIuOEdELTYgRG91YmxlIENhYiA0eDQgTGVnZW5kIFJT/?price=909600" TargetMode="External"/><Relationship Id="rId179" Type="http://schemas.openxmlformats.org/officeDocument/2006/relationships/hyperlink" Target="https://www.carmag.co.za/car-price-guide-view/ford-ranger-3-0-v6-ecoboost-double-cab-raptor-4wd/Rm9yZCBSYW5nZXIgMy4wIFY2IEVjb0Jvb3N0IERvdWJsZSBDYWIgUmFwdG9yIDRXRA==/?price=1094900" TargetMode="External"/><Relationship Id="rId15" Type="http://schemas.openxmlformats.org/officeDocument/2006/relationships/hyperlink" Target="https://www.carmag.co.za/car-price-guide-view/jac-t6-2-8tdi-double-cab-lux/SkFDIFQ2IDIuOFREaSBEb3VibGUgQ2FiIEx1eA==/?price=369900" TargetMode="External"/><Relationship Id="rId36" Type="http://schemas.openxmlformats.org/officeDocument/2006/relationships/hyperlink" Target="https://www.carmag.co.za/car-price-guide-view/mahindra-pik-up-2-2crde-double-cab-s6-karoo-auto/TWFoaW5kcmEgUGlrIFVwIDIuMkNSRGUgRG91YmxlIENhYiBTNiBLYXJvbyBhdXRv/?price=441999" TargetMode="External"/><Relationship Id="rId57" Type="http://schemas.openxmlformats.org/officeDocument/2006/relationships/hyperlink" Target="https://www.carmag.co.za/car-price-guide-view/gwm-p-series-2-0td-double-cab-sx-4x4/R1dNIFAtU2VyaWVzIDIuMFREIERvdWJsZSBDYWIgU1ggNHg0/?price=487950" TargetMode="External"/><Relationship Id="rId106" Type="http://schemas.openxmlformats.org/officeDocument/2006/relationships/hyperlink" Target="https://www.carmag.co.za/car-price-guide-view/mitsubishi-triton-2-4di-d-double-cab/TWl0c3ViaXNoaSBUcml0b24gMi40REktRCBEb3VibGUgQ2Fi/?price=599990" TargetMode="External"/><Relationship Id="rId127" Type="http://schemas.openxmlformats.org/officeDocument/2006/relationships/hyperlink" Target="https://www.carmag.co.za/car-price-guide-view/toyota-hilux-2-8gd-6-single-cab-4x4-raider-auto/VG95b3RhIEhpbHV4IDIuOEdELTYgU2luZ2xlIENhYiA0eDQgUmFpZGVyIGF1dG8=/?price=675000" TargetMode="External"/><Relationship Id="rId10" Type="http://schemas.openxmlformats.org/officeDocument/2006/relationships/hyperlink" Target="https://www.carmag.co.za/car-price-guide-view/isuzu-d-max-gen-6-250c-single-cab/SXN1enUgRC1NYXggR2VuIDYgMjUwYyBTaW5nbGUgQ2Fi/?price=340000" TargetMode="External"/><Relationship Id="rId31" Type="http://schemas.openxmlformats.org/officeDocument/2006/relationships/hyperlink" Target="https://www.carmag.co.za/car-price-guide-view/isuzu-d-max-1-9td-single-cab-l/SXN1enUgRC1NYXggMS45VEQgU2luZ2xlIENhYiBM/?price=431600" TargetMode="External"/><Relationship Id="rId52" Type="http://schemas.openxmlformats.org/officeDocument/2006/relationships/hyperlink" Target="https://www.carmag.co.za/car-price-guide-view/mahindra-pik-up-2-2crde-double-cab-4x4-s10-karoo/TWFoaW5kcmEgUGlrIFVwIDIuMkNSRGUgRG91YmxlIENhYiA0eDQgUzEwIEthcm9v/?price=479999" TargetMode="External"/><Relationship Id="rId73" Type="http://schemas.openxmlformats.org/officeDocument/2006/relationships/hyperlink" Target="https://www.carmag.co.za/car-price-guide-view/isuzu-d-max-gen-6-250-double-cab-hi-ride-auto/SXN1enUgRC1NYXggR2VuIDYgMjUwIERvdWJsZSBDYWIgSGktUmlkZSBhdXRv/?price=517700" TargetMode="External"/><Relationship Id="rId78" Type="http://schemas.openxmlformats.org/officeDocument/2006/relationships/hyperlink" Target="https://www.carmag.co.za/car-price-guide-view/toyota-hilux-2-4gd-6-single-cab-raider-auto/VG95b3RhIEhpbHV4IDIuNEdELTYgU2luZ2xlIENhYiBSYWlkZXIgYXV0bw==/?price=527600" TargetMode="External"/><Relationship Id="rId94" Type="http://schemas.openxmlformats.org/officeDocument/2006/relationships/hyperlink" Target="https://www.carmag.co.za/car-price-guide-view/nissan-navara-2-5ddti-double-cab-se-plus/Tmlzc2FuIE5hdmFyYSAyLjVERFRpIERvdWJsZSBDYWIgU0UgUGx1cw==/?price=556500" TargetMode="External"/><Relationship Id="rId99" Type="http://schemas.openxmlformats.org/officeDocument/2006/relationships/hyperlink" Target="https://www.carmag.co.za/car-price-guide-view/nissan-navara-2-5ddti-single-cab-le-4x4/Tmlzc2FuIE5hdmFyYSAyLjVERFRpIFNpbmdsZSBDYWIgTEUgNHg0/?price=582900" TargetMode="External"/><Relationship Id="rId101" Type="http://schemas.openxmlformats.org/officeDocument/2006/relationships/hyperlink" Target="https://www.carmag.co.za/car-price-guide-view/toyota-hilux-2-4gd-6-double-cab-raider-auto/VG95b3RhIEhpbHV4IDIuNEdELTYgRG91YmxlIENhYiBSYWlkZXIgYXV0bw==/?price=585500" TargetMode="External"/><Relationship Id="rId122" Type="http://schemas.openxmlformats.org/officeDocument/2006/relationships/hyperlink" Target="https://www.carmag.co.za/car-price-guide-view/isuzu-d-max-1-9td-double-cab-ls-4x4/SXN1enUgRC1NYXggMS45VEQgRG91YmxlIENhYiBMUyA0eDQ=/?price=650100" TargetMode="External"/><Relationship Id="rId143" Type="http://schemas.openxmlformats.org/officeDocument/2006/relationships/hyperlink" Target="https://www.carmag.co.za/car-price-guide-view/nissan-navara-2-5ddti-double-cab-le-4x4/Tmlzc2FuIE5hdmFyYSAyLjVERFRpIERvdWJsZSBDYWIgTEUgNHg0/?price=722900" TargetMode="External"/><Relationship Id="rId148" Type="http://schemas.openxmlformats.org/officeDocument/2006/relationships/hyperlink" Target="https://www.carmag.co.za/car-price-guide-view/nissan-navara-2-5ddti-double-cab-pro-2x/Tmlzc2FuIE5hdmFyYSAyLjVERFRpIERvdWJsZSBDYWIgUFJPLTJY/?price=756500" TargetMode="External"/><Relationship Id="rId164" Type="http://schemas.openxmlformats.org/officeDocument/2006/relationships/hyperlink" Target="https://www.carmag.co.za/car-price-guide-view/mazda-bt-50-3-0td-double-cab-4x4-individual/TWF6ZGEgQlQtNTAgMy4wVEQgRG91YmxlIENhYiA0eDQgSW5kaXZpZHVhbA==/?price=818400" TargetMode="External"/><Relationship Id="rId169" Type="http://schemas.openxmlformats.org/officeDocument/2006/relationships/hyperlink" Target="https://www.carmag.co.za/car-price-guide-view/toyota-land-cruiser-79-4-5d-4d-single-cab-lx-v8/VG95b3RhIExhbmQgQ3J1aXNlciA3OSA0LjVELTREIFNpbmdsZSBDYWIgTFggVjg=/?price=858500" TargetMode="External"/><Relationship Id="rId4" Type="http://schemas.openxmlformats.org/officeDocument/2006/relationships/hyperlink" Target="https://www.carmag.co.za/car-price-guide-view/mahindra-pik-up-2-2crde-single-cab-s4/TWFoaW5kcmEgUGlrIFVwIDIuMkNSRGUgU2luZ2xlIENhYiBTNA==/?price=263999" TargetMode="External"/><Relationship Id="rId9" Type="http://schemas.openxmlformats.org/officeDocument/2006/relationships/hyperlink" Target="https://www.carmag.co.za/car-price-guide-view/toyota-hilux-2-0-single-cab-s/VG95b3RhIEhpbHV4IDIuMCBTaW5nbGUgQ2FiIFM=/?price=336100" TargetMode="External"/><Relationship Id="rId180" Type="http://schemas.openxmlformats.org/officeDocument/2006/relationships/hyperlink" Target="https://www.carmag.co.za/car-price-guide-view/volkswagen-amarok-3-0-v6-tdi-double-cab-extreme-4motion/Vm9sa3N3YWdlbiBBbWFyb2sgMy4wIFY2IFRESSBEb3VibGUgQ2FiIEV4dHJlbWUgNE1vdGlvbg==/?price=1118200" TargetMode="External"/><Relationship Id="rId26" Type="http://schemas.openxmlformats.org/officeDocument/2006/relationships/hyperlink" Target="https://www.carmag.co.za/car-price-guide-view/isuzu-d-max-1-9td-single-cab/SXN1enUgRC1NYXggMS45VEQgU2luZ2xlIENhYg==/?price=411800" TargetMode="External"/><Relationship Id="rId47" Type="http://schemas.openxmlformats.org/officeDocument/2006/relationships/hyperlink" Target="https://www.carmag.co.za/car-price-guide-view/nissan-navara-2-5ddti-single-cab-se/Tmlzc2FuIE5hdmFyYSAyLjVERFRpIFNpbmdsZSBDYWIgU0U=/?price=466700" TargetMode="External"/><Relationship Id="rId68" Type="http://schemas.openxmlformats.org/officeDocument/2006/relationships/hyperlink" Target="https://www.carmag.co.za/car-price-guide-view/isuzu-d-max-1-9td-double-cab-l/SXN1enUgRC1NYXggMS45VEQgRG91YmxlIENhYiBM/?price=511400" TargetMode="External"/><Relationship Id="rId89" Type="http://schemas.openxmlformats.org/officeDocument/2006/relationships/hyperlink" Target="https://www.carmag.co.za/car-price-guide-view/ford-ranger-2-0-sit-double-cab-xl-auto/Rm9yZCBSYW5nZXIgMi4wIFNpVCBEb3VibGUgQ2FiIFhMIGF1dG8=/?price=544400" TargetMode="External"/><Relationship Id="rId112" Type="http://schemas.openxmlformats.org/officeDocument/2006/relationships/hyperlink" Target="https://www.carmag.co.za/car-price-guide-view/toyota-hilux-2-8gd-6-xtra-cab-legend/VG95b3RhIEhpbHV4IDIuOEdELTYgWHRyYSBDYWIgTGVnZW5k/?price=611000" TargetMode="External"/><Relationship Id="rId133" Type="http://schemas.openxmlformats.org/officeDocument/2006/relationships/hyperlink" Target="https://www.carmag.co.za/car-price-guide-view/peugeot-landtrek-1-9td-4action-double-cab-4x4/UGV1Z2VvdCBMYW5kdHJlayAxLjlURCA0QWN0aW9uIERvdWJsZSBDYWIgNHg0/?price=689900" TargetMode="External"/><Relationship Id="rId154" Type="http://schemas.openxmlformats.org/officeDocument/2006/relationships/hyperlink" Target="https://www.carmag.co.za/car-price-guide-view/ford-ranger-2-0-biturbo-double-cab-xlt-4x4/Rm9yZCBSYW5nZXIgMi4wIEJpVHVyYm8gRG91YmxlIENhYiBYTFQgNHg0/?price=782100" TargetMode="External"/><Relationship Id="rId175" Type="http://schemas.openxmlformats.org/officeDocument/2006/relationships/hyperlink" Target="https://www.carmag.co.za/car-price-guide-view/toyota-land-cruiser-79-4-5d-4d-lx-v8-double-cab/VG95b3RhIExhbmQgQ3J1aXNlciA3OSA0LjVELTREIExYIFY4IERvdWJsZSBDYWI=/?price=941200" TargetMode="External"/><Relationship Id="rId16" Type="http://schemas.openxmlformats.org/officeDocument/2006/relationships/hyperlink" Target="https://www.carmag.co.za/car-price-guide-view/mahindra-pik-up-2-2crde-single-cab-4x4-s6/TWFoaW5kcmEgUGlrIFVwIDIuMkNSRGUgU2luZ2xlIENhYiA0eDQgUzY=/?price=370999" TargetMode="External"/><Relationship Id="rId37" Type="http://schemas.openxmlformats.org/officeDocument/2006/relationships/hyperlink" Target="https://www.carmag.co.za/car-price-guide-view/isuzu-d-max-1-9td-extended-cab/SXN1enUgRC1NYXggMS45VEQgRXh0ZW5kZWQgY2Fi/?price=444500" TargetMode="External"/><Relationship Id="rId58" Type="http://schemas.openxmlformats.org/officeDocument/2006/relationships/hyperlink" Target="https://www.carmag.co.za/car-price-guide-view/gwm-p-series-2-0td-single-cab-dlx-4x4/R1dNIFAtU2VyaWVzIDIuMFREIFNpbmdsZSBDYWIgRExYIDR4NA==/?price=489950" TargetMode="External"/><Relationship Id="rId79" Type="http://schemas.openxmlformats.org/officeDocument/2006/relationships/hyperlink" Target="https://www.carmag.co.za/car-price-guide-view/ford-ranger-2-0-sit-double-cab-4x4/Rm9yZCBSYW5nZXIgMi4wIFNpVCBEb3VibGUgQ2FiIDR4NA==/?price=528600" TargetMode="External"/><Relationship Id="rId102" Type="http://schemas.openxmlformats.org/officeDocument/2006/relationships/hyperlink" Target="https://www.carmag.co.za/car-price-guide-view/gwm-p-series-2-0td-double-cab-lt/R1dNIFAtU2VyaWVzIDIuMFREIERvdWJsZSBDYWIgTFQ=/?price=589950" TargetMode="External"/><Relationship Id="rId123" Type="http://schemas.openxmlformats.org/officeDocument/2006/relationships/hyperlink" Target="https://www.carmag.co.za/car-price-guide-view/toyota-hilux-2-4gd-6-double-cab-4x4-raider/VG95b3RhIEhpbHV4IDIuNEdELTYgRG91YmxlIENhYiA0eDQgUmFpZGVy/?price=655100" TargetMode="External"/><Relationship Id="rId144" Type="http://schemas.openxmlformats.org/officeDocument/2006/relationships/hyperlink" Target="https://www.carmag.co.za/car-price-guide-view/isuzu-d-max-3-0td-double-cab-lse/SXN1enUgRC1NYXggMy4wVEQgRG91YmxlIENhYiBMU0U=/?price=734400" TargetMode="External"/><Relationship Id="rId90" Type="http://schemas.openxmlformats.org/officeDocument/2006/relationships/hyperlink" Target="https://www.carmag.co.za/car-price-guide-view/ford-ranger-2-0-sit-single-cab-xl-4x4-auto/Rm9yZCBSYW5nZXIgMi4wIFNpVCBTaW5nbGUgQ2FiIFhMIDR4NCBhdXRv/?price=545000" TargetMode="External"/><Relationship Id="rId165" Type="http://schemas.openxmlformats.org/officeDocument/2006/relationships/hyperlink" Target="https://www.carmag.co.za/car-price-guide-view/isuzu-d-max-3-0td-double-cab-v-cross-4x4/SXN1enUgRC1NYXggMy4wVEQgRG91YmxlIENhYiBWLUNyb3NzIDR4NA==/?price=835100" TargetMode="External"/><Relationship Id="rId27" Type="http://schemas.openxmlformats.org/officeDocument/2006/relationships/hyperlink" Target="https://www.carmag.co.za/car-price-guide-view/jac-t6-2-8tdi-double-cab-4wd-lux/SkFDIFQ2IDIuOFREaSBEb3VibGUgQ2FiIDRXRCBMdXg=/?price=419900" TargetMode="External"/><Relationship Id="rId48" Type="http://schemas.openxmlformats.org/officeDocument/2006/relationships/hyperlink" Target="https://www.carmag.co.za/car-price-guide-view/toyota-hilux-2-4gd-6-single-cab-sr/VG95b3RhIEhpbHV4IDIuNEdELTYgU2luZ2xlIENhYiBTUg==/?price=469200" TargetMode="External"/><Relationship Id="rId69" Type="http://schemas.openxmlformats.org/officeDocument/2006/relationships/hyperlink" Target="https://www.carmag.co.za/car-price-guide-view/isuzu-d-max-1-9td-extended-cab-ls-auto/SXN1enUgRC1NYXggMS45VEQgRXh0ZW5kZWQgY2FiIExTIGF1dG8=/?price=513700" TargetMode="External"/><Relationship Id="rId113" Type="http://schemas.openxmlformats.org/officeDocument/2006/relationships/hyperlink" Target="https://www.carmag.co.za/car-price-guide-view/toyota-hilux-2-4gd-6-double-cab-4x4-sr/VG95b3RhIEhpbHV4IDIuNEdELTYgRG91YmxlIENhYiA0eDQgU1I=/?price=615300" TargetMode="External"/><Relationship Id="rId134" Type="http://schemas.openxmlformats.org/officeDocument/2006/relationships/hyperlink" Target="https://www.carmag.co.za/car-price-guide-view/toyota-hilux-2-8gd-6-xtra-cab-4x4-legend/VG95b3RhIEhpbHV4IDIuOEdELTYgWHRyYSBDYWIgNHg0IExlZ2VuZA==/?price=691100" TargetMode="External"/><Relationship Id="rId80" Type="http://schemas.openxmlformats.org/officeDocument/2006/relationships/hyperlink" Target="https://www.carmag.co.za/car-price-guide-view/ford-ranger-2-0-sit-double-cab-xl/Rm9yZCBSYW5nZXIgMi4wIFNpVCBEb3VibGUgQ2FiIFhM/?price=529900" TargetMode="External"/><Relationship Id="rId155" Type="http://schemas.openxmlformats.org/officeDocument/2006/relationships/hyperlink" Target="https://www.carmag.co.za/car-price-guide-view/mazda-bt-50-3-0td-double-cab-dynamic/TWF6ZGEgQlQtNTAgMy4wVEQgRG91YmxlIENhYiBEeW5hbWlj/?price=782400" TargetMode="External"/><Relationship Id="rId176" Type="http://schemas.openxmlformats.org/officeDocument/2006/relationships/hyperlink" Target="https://www.carmag.co.za/car-price-guide-view/toyota-hilux-2-8gd-6-double-cab-4x4-legend-rs-auto/VG95b3RhIEhpbHV4IDIuOEdELTYgRG91YmxlIENhYiA0eDQgTGVnZW5kIFJTIGF1dG8=/?price=945400" TargetMode="External"/><Relationship Id="rId17" Type="http://schemas.openxmlformats.org/officeDocument/2006/relationships/hyperlink" Target="https://www.carmag.co.za/car-price-guide-view/jac-t6-1-9tdi-double-cab-comfort/SkFDIFQ2IDEuOVREaSBEb3VibGUgQ2FiIENvbWZvcnQ=/?price=374900" TargetMode="External"/><Relationship Id="rId38" Type="http://schemas.openxmlformats.org/officeDocument/2006/relationships/hyperlink" Target="https://www.carmag.co.za/car-price-guide-view/jac-t8-2-0cti-double-cab-lux/SkFDIFQ4IDIuMENUaSBEb3VibGUgQ2FiIEx1eA==/?price=449900" TargetMode="External"/><Relationship Id="rId59" Type="http://schemas.openxmlformats.org/officeDocument/2006/relationships/hyperlink" Target="https://www.carmag.co.za/car-price-guide-view/toyota-hilux-2-7-double-cab-s/VG95b3RhIEhpbHV4IDIuNyBEb3VibGUgQ2FiIFM=/?price=493600" TargetMode="External"/><Relationship Id="rId103" Type="http://schemas.openxmlformats.org/officeDocument/2006/relationships/hyperlink" Target="https://www.carmag.co.za/car-price-guide-view/ford-ranger-2-0-sit-double-cab-xlt/Rm9yZCBSYW5nZXIgMi4wIFNpVCBEb3VibGUgQ2FiIFhMVA==/?price=592700" TargetMode="External"/><Relationship Id="rId124" Type="http://schemas.openxmlformats.org/officeDocument/2006/relationships/hyperlink" Target="https://www.carmag.co.za/car-price-guide-view/nissan-navara-2-5ddti-double-cab-le-auto/Tmlzc2FuIE5hdmFyYSAyLjVERFRpIERvdWJsZSBDYWIgTEUgYXV0bw==/?price=661500" TargetMode="External"/><Relationship Id="rId70" Type="http://schemas.openxmlformats.org/officeDocument/2006/relationships/hyperlink" Target="https://www.carmag.co.za/car-price-guide-view/nissan-navara-2-5ddti-double-cab-se/Tmlzc2FuIE5hdmFyYSAyLjVERFRpIERvdWJsZSBDYWIgU0U=/?price=514500" TargetMode="External"/><Relationship Id="rId91" Type="http://schemas.openxmlformats.org/officeDocument/2006/relationships/hyperlink" Target="https://www.carmag.co.za/car-price-guide-view/ford-ranger-2-0-sit-supercab-xlt/Rm9yZCBSYW5nZXIgMi4wIFNpVCBTdXBlckNhYiBYTFQ=/?price=547100" TargetMode="External"/><Relationship Id="rId145" Type="http://schemas.openxmlformats.org/officeDocument/2006/relationships/hyperlink" Target="https://www.carmag.co.za/car-price-guide-view/mitsubishi-triton-2-4di-d-double-cab-4x4-heritage/TWl0c3ViaXNoaSBUcml0b24gMi40REktRCBEb3VibGUgQ2FiIDR4NCBIZXJpdGFnZQ==/?price=739990" TargetMode="External"/><Relationship Id="rId166" Type="http://schemas.openxmlformats.org/officeDocument/2006/relationships/hyperlink" Target="https://www.carmag.co.za/car-price-guide-view/toyota-land-cruiser-79-4-2d-double-cab/VG95b3RhIExhbmQgQ3J1aXNlciA3OSA0LjJEIERvdWJsZSBDYWI=/?price=839500" TargetMode="External"/><Relationship Id="rId1" Type="http://schemas.openxmlformats.org/officeDocument/2006/relationships/hyperlink" Target="https://www.carmag.co.za/car-price-guide-view/nissan-np200-1-6i-safety-pack/Tmlzc2FuIE5QMjAwIDEuNmkgc2FmZXR5IHBhY2s=/?price=212500" TargetMode="External"/><Relationship Id="rId28" Type="http://schemas.openxmlformats.org/officeDocument/2006/relationships/hyperlink" Target="https://www.carmag.co.za/car-price-guide-view/mitsubishi-triton-2-4di-d-single-cab-gl/TWl0c3ViaXNoaSBUcml0b24gMi40REktRCBTaW5nbGUgQ2FiIEdM/?price=419995" TargetMode="External"/><Relationship Id="rId49" Type="http://schemas.openxmlformats.org/officeDocument/2006/relationships/hyperlink" Target="https://www.carmag.co.za/car-price-guide-view/ford-ranger-2-0-sit-single-cab-xl-auto/Rm9yZCBSYW5nZXIgMi4wIFNpVCBTaW5nbGUgQ2FiIFhMIGF1dG8=/?price=477800" TargetMode="External"/><Relationship Id="rId114" Type="http://schemas.openxmlformats.org/officeDocument/2006/relationships/hyperlink" Target="https://www.carmag.co.za/car-price-guide-view/mitsubishi-triton-2-4di-d-double-cab-auto/TWl0c3ViaXNoaSBUcml0b24gMi40REktRCBEb3VibGUgQ2FiIGF1dG8=/?price=619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13D2-7C8B-415D-BFBD-FAFE242A65FF}">
  <dimension ref="B1:D93"/>
  <sheetViews>
    <sheetView workbookViewId="0">
      <selection activeCell="B1" sqref="B1:D1"/>
    </sheetView>
  </sheetViews>
  <sheetFormatPr defaultRowHeight="14.5" x14ac:dyDescent="0.35"/>
  <cols>
    <col min="2" max="2" width="50.1796875" customWidth="1"/>
    <col min="3" max="3" width="51" customWidth="1"/>
    <col min="4" max="4" width="7.81640625" bestFit="1" customWidth="1"/>
  </cols>
  <sheetData>
    <row r="1" spans="2:4" x14ac:dyDescent="0.35">
      <c r="B1" s="2" t="s">
        <v>92</v>
      </c>
      <c r="C1" s="2" t="s">
        <v>94</v>
      </c>
      <c r="D1" s="2" t="s">
        <v>93</v>
      </c>
    </row>
    <row r="2" spans="2:4" ht="15" thickBot="1" x14ac:dyDescent="0.4">
      <c r="B2" s="1" t="s">
        <v>0</v>
      </c>
      <c r="C2" t="str">
        <f>TRIM(LEFT(B2, FIND("©",SUBSTITUTE(B2,"R","©",LEN(B2)-LEN(SUBSTITUTE(B2,"R",""))))-1))</f>
        <v>Suzuki S-Presso 1.0 GL</v>
      </c>
      <c r="D2">
        <f>--SUBSTITUTE(TRIM(RIGHT(B2, LEN(B2) - FIND("©",SUBSTITUTE(B2,"R","©",LEN(B2)-LEN(SUBSTITUTE(B2,"R","")))))), " ", "")</f>
        <v>162900</v>
      </c>
    </row>
    <row r="3" spans="2:4" ht="15" thickBot="1" x14ac:dyDescent="0.4">
      <c r="B3" s="1" t="s">
        <v>1</v>
      </c>
      <c r="C3" t="str">
        <f t="shared" ref="C3:C66" si="0">TRIM(LEFT(B3, FIND("©",SUBSTITUTE(B3,"R","©",LEN(B3)-LEN(SUBSTITUTE(B3,"R",""))))-1))</f>
        <v>Suzuki S-Presso 1.0 GL+</v>
      </c>
      <c r="D3">
        <f t="shared" ref="D3:D66" si="1">--SUBSTITUTE(TRIM(RIGHT(B3, LEN(B3) - FIND("©",SUBSTITUTE(B3,"R","©",LEN(B3)-LEN(SUBSTITUTE(B3,"R","")))))), " ", "")</f>
        <v>169900</v>
      </c>
    </row>
    <row r="4" spans="2:4" ht="15" thickBot="1" x14ac:dyDescent="0.4">
      <c r="B4" s="1" t="s">
        <v>2</v>
      </c>
      <c r="C4" t="str">
        <f t="shared" si="0"/>
        <v>Suzuki Celerio 1.0 GA</v>
      </c>
      <c r="D4">
        <f t="shared" si="1"/>
        <v>178900</v>
      </c>
    </row>
    <row r="5" spans="2:4" ht="15" thickBot="1" x14ac:dyDescent="0.4">
      <c r="B5" s="1" t="s">
        <v>3</v>
      </c>
      <c r="C5" t="str">
        <f t="shared" si="0"/>
        <v>Renault Kwid 1.0 Life</v>
      </c>
      <c r="D5">
        <f t="shared" si="1"/>
        <v>180999</v>
      </c>
    </row>
    <row r="6" spans="2:4" ht="15" thickBot="1" x14ac:dyDescent="0.4">
      <c r="B6" s="1" t="s">
        <v>4</v>
      </c>
      <c r="C6" t="str">
        <f t="shared" si="0"/>
        <v>Suzuki S-Presso 1.0 S-Edition</v>
      </c>
      <c r="D6">
        <f t="shared" si="1"/>
        <v>185900</v>
      </c>
    </row>
    <row r="7" spans="2:4" ht="15" thickBot="1" x14ac:dyDescent="0.4">
      <c r="B7" s="1" t="s">
        <v>5</v>
      </c>
      <c r="C7" t="str">
        <f t="shared" si="0"/>
        <v>Renault Kwid 1.0 Zen</v>
      </c>
      <c r="D7">
        <f t="shared" si="1"/>
        <v>190999</v>
      </c>
    </row>
    <row r="8" spans="2:4" ht="15" thickBot="1" x14ac:dyDescent="0.4">
      <c r="B8" s="1" t="s">
        <v>6</v>
      </c>
      <c r="C8" t="str">
        <f t="shared" si="0"/>
        <v>Suzuki DZire 1.2 GA</v>
      </c>
      <c r="D8">
        <f t="shared" si="1"/>
        <v>193900</v>
      </c>
    </row>
    <row r="9" spans="2:4" ht="15" thickBot="1" x14ac:dyDescent="0.4">
      <c r="B9" s="1" t="s">
        <v>7</v>
      </c>
      <c r="C9" t="str">
        <f t="shared" si="0"/>
        <v>Suzuki Swift 1.2 GA</v>
      </c>
      <c r="D9">
        <f t="shared" si="1"/>
        <v>194900</v>
      </c>
    </row>
    <row r="10" spans="2:4" ht="15" thickBot="1" x14ac:dyDescent="0.4">
      <c r="B10" s="1" t="s">
        <v>8</v>
      </c>
      <c r="C10" t="str">
        <f t="shared" si="0"/>
        <v>Suzuki Celerio 1.0 GL</v>
      </c>
      <c r="D10">
        <f t="shared" si="1"/>
        <v>198900</v>
      </c>
    </row>
    <row r="11" spans="2:4" ht="15" thickBot="1" x14ac:dyDescent="0.4">
      <c r="B11" s="1" t="s">
        <v>9</v>
      </c>
      <c r="C11" t="str">
        <f t="shared" si="0"/>
        <v>Hyundai Atos 1.1 Motion</v>
      </c>
      <c r="D11">
        <f t="shared" si="1"/>
        <v>199900</v>
      </c>
    </row>
    <row r="12" spans="2:4" ht="15" thickBot="1" x14ac:dyDescent="0.4">
      <c r="B12" s="1" t="s">
        <v>10</v>
      </c>
      <c r="C12" t="str">
        <f t="shared" si="0"/>
        <v>Toyota Agya 1.0</v>
      </c>
      <c r="D12">
        <f t="shared" si="1"/>
        <v>200000</v>
      </c>
    </row>
    <row r="13" spans="2:4" ht="15" thickBot="1" x14ac:dyDescent="0.4">
      <c r="B13" s="1" t="s">
        <v>11</v>
      </c>
      <c r="C13" t="str">
        <f t="shared" si="0"/>
        <v>Renault Kwid 1.0 Climber</v>
      </c>
      <c r="D13">
        <f t="shared" si="1"/>
        <v>201999</v>
      </c>
    </row>
    <row r="14" spans="2:4" ht="15" thickBot="1" x14ac:dyDescent="0.4">
      <c r="B14" s="1" t="s">
        <v>12</v>
      </c>
      <c r="C14" t="str">
        <f t="shared" si="0"/>
        <v>Kia Picanto 1.0 Start</v>
      </c>
      <c r="D14">
        <f t="shared" si="1"/>
        <v>209995</v>
      </c>
    </row>
    <row r="15" spans="2:4" ht="15" thickBot="1" x14ac:dyDescent="0.4">
      <c r="B15" s="1" t="s">
        <v>13</v>
      </c>
      <c r="C15" t="str">
        <f t="shared" si="0"/>
        <v>Suzuki DZire 1.2 GL</v>
      </c>
      <c r="D15">
        <f t="shared" si="1"/>
        <v>211900</v>
      </c>
    </row>
    <row r="16" spans="2:4" ht="15" thickBot="1" x14ac:dyDescent="0.4">
      <c r="B16" s="1" t="s">
        <v>14</v>
      </c>
      <c r="C16" t="str">
        <f t="shared" si="0"/>
        <v>Suzuki Swift 1.2 GL</v>
      </c>
      <c r="D16">
        <f t="shared" si="1"/>
        <v>212900</v>
      </c>
    </row>
    <row r="17" spans="2:4" ht="15" thickBot="1" x14ac:dyDescent="0.4">
      <c r="B17" s="1" t="s">
        <v>15</v>
      </c>
      <c r="C17" t="str">
        <f t="shared" si="0"/>
        <v>Hyundai Grand i10 1.0 Motion</v>
      </c>
      <c r="D17">
        <f t="shared" si="1"/>
        <v>214900</v>
      </c>
    </row>
    <row r="18" spans="2:4" ht="15" thickBot="1" x14ac:dyDescent="0.4">
      <c r="B18" s="1" t="s">
        <v>16</v>
      </c>
      <c r="C18" t="str">
        <f t="shared" si="0"/>
        <v>Kia Picanto 1.0 Street</v>
      </c>
      <c r="D18">
        <f t="shared" si="1"/>
        <v>223995</v>
      </c>
    </row>
    <row r="19" spans="2:4" ht="15" thickBot="1" x14ac:dyDescent="0.4">
      <c r="B19" s="1" t="s">
        <v>17</v>
      </c>
      <c r="C19" t="str">
        <f t="shared" si="0"/>
        <v>Honda Amaze 1.2 Trend</v>
      </c>
      <c r="D19">
        <f t="shared" si="1"/>
        <v>231200</v>
      </c>
    </row>
    <row r="20" spans="2:4" ht="15" thickBot="1" x14ac:dyDescent="0.4">
      <c r="B20" s="1" t="s">
        <v>18</v>
      </c>
      <c r="C20" t="str">
        <f t="shared" si="0"/>
        <v>Suzuki Baleno 1.5 GL</v>
      </c>
      <c r="D20">
        <f t="shared" si="1"/>
        <v>231900</v>
      </c>
    </row>
    <row r="21" spans="2:4" ht="15" thickBot="1" x14ac:dyDescent="0.4">
      <c r="B21" s="1" t="s">
        <v>19</v>
      </c>
      <c r="C21" t="str">
        <f t="shared" si="0"/>
        <v>Suzuki Swift 1.2 GLX</v>
      </c>
      <c r="D21">
        <f t="shared" si="1"/>
        <v>232900</v>
      </c>
    </row>
    <row r="22" spans="2:4" ht="15" thickBot="1" x14ac:dyDescent="0.4">
      <c r="B22" s="1" t="s">
        <v>20</v>
      </c>
      <c r="C22" t="str">
        <f t="shared" si="0"/>
        <v>Kia Picanto 1.2 Street</v>
      </c>
      <c r="D22">
        <f t="shared" si="1"/>
        <v>232995</v>
      </c>
    </row>
    <row r="23" spans="2:4" ht="15" thickBot="1" x14ac:dyDescent="0.4">
      <c r="B23" s="1" t="s">
        <v>21</v>
      </c>
      <c r="C23" t="str">
        <f t="shared" si="0"/>
        <v>Toyota Starlet 1.5 Xi</v>
      </c>
      <c r="D23">
        <f t="shared" si="1"/>
        <v>233000</v>
      </c>
    </row>
    <row r="24" spans="2:4" ht="15" thickBot="1" x14ac:dyDescent="0.4">
      <c r="B24" s="1" t="s">
        <v>22</v>
      </c>
      <c r="C24" t="str">
        <f t="shared" si="0"/>
        <v>Kia Picanto 1.0 Style</v>
      </c>
      <c r="D24">
        <f t="shared" si="1"/>
        <v>233995</v>
      </c>
    </row>
    <row r="25" spans="2:4" ht="15" thickBot="1" x14ac:dyDescent="0.4">
      <c r="B25" s="1" t="s">
        <v>23</v>
      </c>
      <c r="C25" t="str">
        <f t="shared" si="0"/>
        <v>Kia Picanto 1.2 Style</v>
      </c>
      <c r="D25">
        <f t="shared" si="1"/>
        <v>242995</v>
      </c>
    </row>
    <row r="26" spans="2:4" ht="15" thickBot="1" x14ac:dyDescent="0.4">
      <c r="B26" s="1" t="s">
        <v>24</v>
      </c>
      <c r="C26" t="str">
        <f t="shared" si="0"/>
        <v>Toyota Starlet 1.5 XS</v>
      </c>
      <c r="D26">
        <f t="shared" si="1"/>
        <v>246300</v>
      </c>
    </row>
    <row r="27" spans="2:4" ht="15" thickBot="1" x14ac:dyDescent="0.4">
      <c r="B27" s="1" t="s">
        <v>25</v>
      </c>
      <c r="C27" t="str">
        <f t="shared" si="0"/>
        <v>Hyundai Grand i10 1.0 Fluid</v>
      </c>
      <c r="D27">
        <f t="shared" si="1"/>
        <v>246900</v>
      </c>
    </row>
    <row r="28" spans="2:4" ht="15" thickBot="1" x14ac:dyDescent="0.4">
      <c r="B28" s="1" t="s">
        <v>26</v>
      </c>
      <c r="C28" t="str">
        <f t="shared" si="0"/>
        <v>Volkswagen Polo Vivo 1.4 Trendline</v>
      </c>
      <c r="D28">
        <f t="shared" si="1"/>
        <v>247300</v>
      </c>
    </row>
    <row r="29" spans="2:4" ht="15" thickBot="1" x14ac:dyDescent="0.4">
      <c r="B29" s="1" t="s">
        <v>27</v>
      </c>
      <c r="C29" t="str">
        <f t="shared" si="0"/>
        <v>Honda Amaze 1.2 Comfort</v>
      </c>
      <c r="D29">
        <f t="shared" si="1"/>
        <v>247800</v>
      </c>
    </row>
    <row r="30" spans="2:4" ht="15" thickBot="1" x14ac:dyDescent="0.4">
      <c r="B30" s="1" t="s">
        <v>28</v>
      </c>
      <c r="C30" t="str">
        <f t="shared" si="0"/>
        <v>Kia Pegas 1.4 LX</v>
      </c>
      <c r="D30">
        <f t="shared" si="1"/>
        <v>254995</v>
      </c>
    </row>
    <row r="31" spans="2:4" ht="15" thickBot="1" x14ac:dyDescent="0.4">
      <c r="B31" s="1" t="s">
        <v>29</v>
      </c>
      <c r="C31" t="str">
        <f t="shared" si="0"/>
        <v>Suzuki Ciaz 1.5 GL</v>
      </c>
      <c r="D31">
        <f t="shared" si="1"/>
        <v>256900</v>
      </c>
    </row>
    <row r="32" spans="2:4" ht="15" thickBot="1" x14ac:dyDescent="0.4">
      <c r="B32" s="1" t="s">
        <v>30</v>
      </c>
      <c r="C32" t="str">
        <f t="shared" si="0"/>
        <v>Kia Picanto 1.2 X-Line</v>
      </c>
      <c r="D32">
        <f t="shared" si="1"/>
        <v>259995</v>
      </c>
    </row>
    <row r="33" spans="2:4" ht="15" thickBot="1" x14ac:dyDescent="0.4">
      <c r="B33" s="1" t="s">
        <v>31</v>
      </c>
      <c r="C33" t="str">
        <f t="shared" si="0"/>
        <v>Hyundai Grand i10 1.2 Fluid</v>
      </c>
      <c r="D33">
        <f t="shared" si="1"/>
        <v>261900</v>
      </c>
    </row>
    <row r="34" spans="2:4" ht="15" thickBot="1" x14ac:dyDescent="0.4">
      <c r="B34" s="1" t="s">
        <v>32</v>
      </c>
      <c r="C34" t="str">
        <f t="shared" si="0"/>
        <v>Kia Pegas 1.4 EX</v>
      </c>
      <c r="D34">
        <f t="shared" si="1"/>
        <v>265995</v>
      </c>
    </row>
    <row r="35" spans="2:4" ht="15" thickBot="1" x14ac:dyDescent="0.4">
      <c r="B35" s="1" t="s">
        <v>33</v>
      </c>
      <c r="C35" t="str">
        <f t="shared" si="0"/>
        <v>Volkswagen Polo Vivo 1.4 Comfortline</v>
      </c>
      <c r="D35">
        <f t="shared" si="1"/>
        <v>266900</v>
      </c>
    </row>
    <row r="36" spans="2:4" ht="15" thickBot="1" x14ac:dyDescent="0.4">
      <c r="B36" s="1" t="s">
        <v>34</v>
      </c>
      <c r="C36" t="str">
        <f t="shared" si="0"/>
        <v>Suzuki Baleno 1.5 GLX</v>
      </c>
      <c r="D36">
        <f t="shared" si="1"/>
        <v>281900</v>
      </c>
    </row>
    <row r="37" spans="2:4" ht="15" thickBot="1" x14ac:dyDescent="0.4">
      <c r="B37" s="1" t="s">
        <v>35</v>
      </c>
      <c r="C37" t="str">
        <f t="shared" si="0"/>
        <v>Nissan Almera 1.5 Acenta</v>
      </c>
      <c r="D37">
        <f t="shared" si="1"/>
        <v>291900</v>
      </c>
    </row>
    <row r="38" spans="2:4" ht="15" thickBot="1" x14ac:dyDescent="0.4">
      <c r="B38" s="1" t="s">
        <v>36</v>
      </c>
      <c r="C38" t="str">
        <f t="shared" si="0"/>
        <v>Toyota Starlet 1.5 XR</v>
      </c>
      <c r="D38">
        <f t="shared" si="1"/>
        <v>294900</v>
      </c>
    </row>
    <row r="39" spans="2:4" ht="15" thickBot="1" x14ac:dyDescent="0.4">
      <c r="B39" s="1" t="s">
        <v>37</v>
      </c>
      <c r="C39" t="str">
        <f t="shared" si="0"/>
        <v>Volkswagen Polo Vivo 1.6 Highline</v>
      </c>
      <c r="D39">
        <f t="shared" si="1"/>
        <v>296000</v>
      </c>
    </row>
    <row r="40" spans="2:4" ht="15" thickBot="1" x14ac:dyDescent="0.4">
      <c r="B40" s="1" t="s">
        <v>38</v>
      </c>
      <c r="C40" t="str">
        <f t="shared" si="0"/>
        <v>Suzuki Ciaz 1.5 GLX</v>
      </c>
      <c r="D40">
        <f t="shared" si="1"/>
        <v>296900</v>
      </c>
    </row>
    <row r="41" spans="2:4" ht="15" thickBot="1" x14ac:dyDescent="0.4">
      <c r="B41" s="1" t="s">
        <v>39</v>
      </c>
      <c r="C41" t="str">
        <f t="shared" si="0"/>
        <v>Kia Rio 1.2 LS</v>
      </c>
      <c r="D41">
        <f t="shared" si="1"/>
        <v>299995</v>
      </c>
    </row>
    <row r="42" spans="2:4" ht="15" thickBot="1" x14ac:dyDescent="0.4">
      <c r="B42" s="1" t="s">
        <v>40</v>
      </c>
      <c r="C42" t="str">
        <f t="shared" si="0"/>
        <v>Mazda Mazda2 1.5 Active</v>
      </c>
      <c r="D42">
        <f t="shared" si="1"/>
        <v>302300</v>
      </c>
    </row>
    <row r="43" spans="2:4" ht="15" thickBot="1" x14ac:dyDescent="0.4">
      <c r="B43" s="1" t="s">
        <v>41</v>
      </c>
      <c r="C43" t="str">
        <f t="shared" si="0"/>
        <v>Hyundai i20 1.2 Motion</v>
      </c>
      <c r="D43">
        <f t="shared" si="1"/>
        <v>304900</v>
      </c>
    </row>
    <row r="44" spans="2:4" ht="15" thickBot="1" x14ac:dyDescent="0.4">
      <c r="B44" s="1" t="s">
        <v>42</v>
      </c>
      <c r="C44" t="str">
        <f t="shared" si="0"/>
        <v>Citroën C3 1.2 Feel</v>
      </c>
      <c r="D44">
        <f t="shared" si="1"/>
        <v>305900</v>
      </c>
    </row>
    <row r="45" spans="2:4" ht="15" thickBot="1" x14ac:dyDescent="0.4">
      <c r="B45" s="1" t="s">
        <v>43</v>
      </c>
      <c r="C45" t="str">
        <f t="shared" si="0"/>
        <v>Toyota Corolla Quest 1.8 Plus</v>
      </c>
      <c r="D45">
        <f t="shared" si="1"/>
        <v>307400</v>
      </c>
    </row>
    <row r="46" spans="2:4" ht="15" thickBot="1" x14ac:dyDescent="0.4">
      <c r="B46" s="1" t="s">
        <v>44</v>
      </c>
      <c r="C46" t="str">
        <f t="shared" si="0"/>
        <v>Renault Clio 1.0 Turbo Life</v>
      </c>
      <c r="D46">
        <f t="shared" si="1"/>
        <v>309999</v>
      </c>
    </row>
    <row r="47" spans="2:4" ht="15" thickBot="1" x14ac:dyDescent="0.4">
      <c r="B47" s="1" t="s">
        <v>45</v>
      </c>
      <c r="C47" t="str">
        <f t="shared" si="0"/>
        <v>Kia Rio 1.4 LS</v>
      </c>
      <c r="D47">
        <f t="shared" si="1"/>
        <v>313995</v>
      </c>
    </row>
    <row r="48" spans="2:4" ht="15" thickBot="1" x14ac:dyDescent="0.4">
      <c r="B48" s="1" t="s">
        <v>46</v>
      </c>
      <c r="C48" t="str">
        <f t="shared" si="0"/>
        <v>Hyundai i20 1.2 Fluid</v>
      </c>
      <c r="D48">
        <f t="shared" si="1"/>
        <v>319900</v>
      </c>
    </row>
    <row r="49" spans="2:4" ht="15" thickBot="1" x14ac:dyDescent="0.4">
      <c r="B49" s="1" t="s">
        <v>47</v>
      </c>
      <c r="C49" t="str">
        <f t="shared" si="0"/>
        <v>Renault Clio 1.0 Turbo Zen</v>
      </c>
      <c r="D49">
        <f t="shared" si="1"/>
        <v>324999</v>
      </c>
    </row>
    <row r="50" spans="2:4" ht="15" thickBot="1" x14ac:dyDescent="0.4">
      <c r="B50" s="1" t="s">
        <v>48</v>
      </c>
      <c r="C50" t="str">
        <f t="shared" si="0"/>
        <v>Opel Corsa 1.2</v>
      </c>
      <c r="D50">
        <f t="shared" si="1"/>
        <v>325900</v>
      </c>
    </row>
    <row r="51" spans="2:4" ht="15" thickBot="1" x14ac:dyDescent="0.4">
      <c r="B51" s="1" t="s">
        <v>49</v>
      </c>
      <c r="C51" t="str">
        <f t="shared" si="0"/>
        <v>Fiat Tipo Sedan 1.4</v>
      </c>
      <c r="D51">
        <f t="shared" si="1"/>
        <v>327900</v>
      </c>
    </row>
    <row r="52" spans="2:4" ht="15" thickBot="1" x14ac:dyDescent="0.4">
      <c r="B52" s="1" t="s">
        <v>50</v>
      </c>
      <c r="C52" t="str">
        <f t="shared" si="0"/>
        <v>Kia Rio 1.4 LX</v>
      </c>
      <c r="D52">
        <f t="shared" si="1"/>
        <v>328995</v>
      </c>
    </row>
    <row r="53" spans="2:4" ht="15" thickBot="1" x14ac:dyDescent="0.4">
      <c r="B53" s="1" t="s">
        <v>51</v>
      </c>
      <c r="C53" t="str">
        <f t="shared" si="0"/>
        <v>Peugeot 208 1.2 Active</v>
      </c>
      <c r="D53">
        <f t="shared" si="1"/>
        <v>329900</v>
      </c>
    </row>
    <row r="54" spans="2:4" ht="15" thickBot="1" x14ac:dyDescent="0.4">
      <c r="B54" s="1" t="s">
        <v>52</v>
      </c>
      <c r="C54" t="str">
        <f t="shared" si="0"/>
        <v>Mazda Mazda2 1.5 Dynamic</v>
      </c>
      <c r="D54">
        <f t="shared" si="1"/>
        <v>330200</v>
      </c>
    </row>
    <row r="55" spans="2:4" ht="15" thickBot="1" x14ac:dyDescent="0.4">
      <c r="B55" s="1" t="s">
        <v>53</v>
      </c>
      <c r="C55" t="str">
        <f t="shared" si="0"/>
        <v>Volkswagen Polo Sedan 1.6</v>
      </c>
      <c r="D55">
        <f t="shared" si="1"/>
        <v>332400</v>
      </c>
    </row>
    <row r="56" spans="2:4" ht="15" thickBot="1" x14ac:dyDescent="0.4">
      <c r="B56" s="1" t="s">
        <v>54</v>
      </c>
      <c r="C56" t="str">
        <f t="shared" si="0"/>
        <v>Volkswagen Polo Vivo 1.0TSI GT</v>
      </c>
      <c r="D56">
        <f t="shared" si="1"/>
        <v>332800</v>
      </c>
    </row>
    <row r="57" spans="2:4" ht="15" thickBot="1" x14ac:dyDescent="0.4">
      <c r="B57" s="1" t="s">
        <v>55</v>
      </c>
      <c r="C57" t="str">
        <f t="shared" si="0"/>
        <v>Volkswagen Polo Hatch 1.0TSI 70kW</v>
      </c>
      <c r="D57">
        <f t="shared" si="1"/>
        <v>334400</v>
      </c>
    </row>
    <row r="58" spans="2:4" ht="15" thickBot="1" x14ac:dyDescent="0.4">
      <c r="B58" s="1" t="s">
        <v>56</v>
      </c>
      <c r="C58" t="str">
        <f t="shared" si="0"/>
        <v>Kia Rio 1.4 EX</v>
      </c>
      <c r="D58">
        <f t="shared" si="1"/>
        <v>341995</v>
      </c>
    </row>
    <row r="59" spans="2:4" ht="15" thickBot="1" x14ac:dyDescent="0.4">
      <c r="B59" s="1" t="s">
        <v>57</v>
      </c>
      <c r="C59" t="str">
        <f t="shared" si="0"/>
        <v>Toyota Corolla Quest 1.8 Prestige</v>
      </c>
      <c r="D59">
        <f t="shared" si="1"/>
        <v>348400</v>
      </c>
    </row>
    <row r="60" spans="2:4" ht="15" thickBot="1" x14ac:dyDescent="0.4">
      <c r="B60" s="1" t="s">
        <v>58</v>
      </c>
      <c r="C60" t="str">
        <f t="shared" si="0"/>
        <v>Opel Corsa 1.2T Edition</v>
      </c>
      <c r="D60">
        <f t="shared" si="1"/>
        <v>356900</v>
      </c>
    </row>
    <row r="61" spans="2:4" ht="15" thickBot="1" x14ac:dyDescent="0.4">
      <c r="B61" s="1" t="s">
        <v>59</v>
      </c>
      <c r="C61" t="str">
        <f t="shared" si="0"/>
        <v>Mazda Mazda2 1.5 Individual</v>
      </c>
      <c r="D61">
        <f t="shared" si="1"/>
        <v>358700</v>
      </c>
    </row>
    <row r="62" spans="2:4" ht="15" thickBot="1" x14ac:dyDescent="0.4">
      <c r="B62" s="1" t="s">
        <v>60</v>
      </c>
      <c r="C62" t="str">
        <f t="shared" si="0"/>
        <v>Volkswagen Polo Sedan 1.6 Life</v>
      </c>
      <c r="D62">
        <f t="shared" si="1"/>
        <v>360900</v>
      </c>
    </row>
    <row r="63" spans="2:4" ht="15" thickBot="1" x14ac:dyDescent="0.4">
      <c r="B63" s="1" t="s">
        <v>61</v>
      </c>
      <c r="C63" t="str">
        <f t="shared" si="0"/>
        <v>Hyundai i20 1.0T Fluid</v>
      </c>
      <c r="D63">
        <f t="shared" si="1"/>
        <v>362900</v>
      </c>
    </row>
    <row r="64" spans="2:4" ht="15" thickBot="1" x14ac:dyDescent="0.4">
      <c r="B64" s="1" t="s">
        <v>62</v>
      </c>
      <c r="C64" t="str">
        <f t="shared" si="0"/>
        <v>Renault Clio 1.0 Turbo Intens</v>
      </c>
      <c r="D64">
        <f t="shared" si="1"/>
        <v>364999</v>
      </c>
    </row>
    <row r="65" spans="2:4" ht="15" thickBot="1" x14ac:dyDescent="0.4">
      <c r="B65" s="1" t="s">
        <v>63</v>
      </c>
      <c r="C65" t="str">
        <f t="shared" si="0"/>
        <v>Kia Rio 1.4 Tec</v>
      </c>
      <c r="D65">
        <f t="shared" si="1"/>
        <v>366995</v>
      </c>
    </row>
    <row r="66" spans="2:4" ht="15" thickBot="1" x14ac:dyDescent="0.4">
      <c r="B66" s="1" t="s">
        <v>64</v>
      </c>
      <c r="C66" t="str">
        <f t="shared" si="0"/>
        <v>Toyota Corolla Quest 1.8 Exclusive</v>
      </c>
      <c r="D66">
        <f t="shared" si="1"/>
        <v>367500</v>
      </c>
    </row>
    <row r="67" spans="2:4" ht="15" thickBot="1" x14ac:dyDescent="0.4">
      <c r="B67" s="1" t="s">
        <v>65</v>
      </c>
      <c r="C67" t="str">
        <f t="shared" ref="C67:C93" si="2">TRIM(LEFT(B67, FIND("©",SUBSTITUTE(B67,"R","©",LEN(B67)-LEN(SUBSTITUTE(B67,"R",""))))-1))</f>
        <v>Volkswagen Polo Hatch 1.0TSI 70kW Life</v>
      </c>
      <c r="D67">
        <f t="shared" ref="D67:D93" si="3">--SUBSTITUTE(TRIM(RIGHT(B67, LEN(B67) - FIND("©",SUBSTITUTE(B67,"R","©",LEN(B67)-LEN(SUBSTITUTE(B67,"R","")))))), " ", "")</f>
        <v>375400</v>
      </c>
    </row>
    <row r="68" spans="2:4" ht="15" thickBot="1" x14ac:dyDescent="0.4">
      <c r="B68" s="1" t="s">
        <v>66</v>
      </c>
      <c r="C68" t="str">
        <f t="shared" si="2"/>
        <v>Peugeot 208 1.2T Allure</v>
      </c>
      <c r="D68">
        <f t="shared" si="3"/>
        <v>379900</v>
      </c>
    </row>
    <row r="69" spans="2:4" ht="15" thickBot="1" x14ac:dyDescent="0.4">
      <c r="B69" s="1" t="s">
        <v>67</v>
      </c>
      <c r="C69" t="str">
        <f t="shared" si="2"/>
        <v>Fiat Tipo Hatch 1.4 City Life</v>
      </c>
      <c r="D69">
        <f t="shared" si="3"/>
        <v>390900</v>
      </c>
    </row>
    <row r="70" spans="2:4" ht="15" thickBot="1" x14ac:dyDescent="0.4">
      <c r="B70" s="1" t="s">
        <v>68</v>
      </c>
      <c r="C70" t="str">
        <f t="shared" si="2"/>
        <v>Suzuki Swift 1.4T Sport</v>
      </c>
      <c r="D70">
        <f t="shared" si="3"/>
        <v>392900</v>
      </c>
    </row>
    <row r="71" spans="2:4" ht="15" thickBot="1" x14ac:dyDescent="0.4">
      <c r="B71" s="1" t="s">
        <v>69</v>
      </c>
      <c r="C71" t="str">
        <f t="shared" si="2"/>
        <v>Fiat Tipo Sedan 1.4 City Life</v>
      </c>
      <c r="D71">
        <f t="shared" si="3"/>
        <v>404900</v>
      </c>
    </row>
    <row r="72" spans="2:4" ht="15" thickBot="1" x14ac:dyDescent="0.4">
      <c r="B72" s="1" t="s">
        <v>70</v>
      </c>
      <c r="C72" t="str">
        <f t="shared" si="2"/>
        <v>Abarth 500 595 turismo 1.4T</v>
      </c>
      <c r="D72">
        <f t="shared" si="3"/>
        <v>409900</v>
      </c>
    </row>
    <row r="73" spans="2:4" ht="15" thickBot="1" x14ac:dyDescent="0.4">
      <c r="B73" s="1" t="s">
        <v>71</v>
      </c>
      <c r="C73" t="str">
        <f t="shared" si="2"/>
        <v>Mazda Mazda3 Hatch 1.5 Active</v>
      </c>
      <c r="D73">
        <f t="shared" si="3"/>
        <v>421900</v>
      </c>
    </row>
    <row r="74" spans="2:4" ht="15" thickBot="1" x14ac:dyDescent="0.4">
      <c r="B74" s="1" t="s">
        <v>72</v>
      </c>
      <c r="C74" t="str">
        <f t="shared" si="2"/>
        <v>Fiat Tipo Hatch 1.4 Life</v>
      </c>
      <c r="D74">
        <f t="shared" si="3"/>
        <v>430900</v>
      </c>
    </row>
    <row r="75" spans="2:4" ht="15" thickBot="1" x14ac:dyDescent="0.4">
      <c r="B75" s="1" t="s">
        <v>73</v>
      </c>
      <c r="C75" t="str">
        <f t="shared" si="2"/>
        <v>Mazda Mazda3 Hatch 1.5 Dynamic</v>
      </c>
      <c r="D75">
        <f t="shared" si="3"/>
        <v>438600</v>
      </c>
    </row>
    <row r="76" spans="2:4" ht="15" thickBot="1" x14ac:dyDescent="0.4">
      <c r="B76" s="1" t="s">
        <v>74</v>
      </c>
      <c r="C76" t="str">
        <f t="shared" si="2"/>
        <v>Abarth 500 595 competizione 1.4T</v>
      </c>
      <c r="D76">
        <f t="shared" si="3"/>
        <v>491900</v>
      </c>
    </row>
    <row r="77" spans="2:4" ht="15" thickBot="1" x14ac:dyDescent="0.4">
      <c r="B77" s="1" t="s">
        <v>75</v>
      </c>
      <c r="C77" t="str">
        <f t="shared" si="2"/>
        <v>Mazda Mazda3 Hatch 1.5 Individual</v>
      </c>
      <c r="D77">
        <f t="shared" si="3"/>
        <v>494000</v>
      </c>
    </row>
    <row r="78" spans="2:4" ht="15" thickBot="1" x14ac:dyDescent="0.4">
      <c r="B78" s="1" t="s">
        <v>76</v>
      </c>
      <c r="C78" t="str">
        <f t="shared" si="2"/>
        <v>Abarth 500 595 Monster Energy Yamaha Cabriolet</v>
      </c>
      <c r="D78">
        <f t="shared" si="3"/>
        <v>509900</v>
      </c>
    </row>
    <row r="79" spans="2:4" ht="15" thickBot="1" x14ac:dyDescent="0.4">
      <c r="B79" s="1" t="s">
        <v>77</v>
      </c>
      <c r="C79" t="str">
        <f t="shared" si="2"/>
        <v>Toyota GR86</v>
      </c>
      <c r="D79">
        <f t="shared" si="3"/>
        <v>712100</v>
      </c>
    </row>
    <row r="80" spans="2:4" ht="15" thickBot="1" x14ac:dyDescent="0.4">
      <c r="B80" s="1" t="s">
        <v>78</v>
      </c>
      <c r="C80" t="str">
        <f t="shared" si="2"/>
        <v>Toyota GR Yaris 1.6T GR-Four Rally</v>
      </c>
      <c r="D80">
        <f t="shared" si="3"/>
        <v>791900</v>
      </c>
    </row>
    <row r="81" spans="2:4" ht="15" thickBot="1" x14ac:dyDescent="0.4">
      <c r="B81" s="1" t="s">
        <v>79</v>
      </c>
      <c r="C81" t="str">
        <f t="shared" si="2"/>
        <v>Subaru WRX 2.4T</v>
      </c>
      <c r="D81">
        <f t="shared" si="3"/>
        <v>799000</v>
      </c>
    </row>
    <row r="82" spans="2:4" ht="15" thickBot="1" x14ac:dyDescent="0.4">
      <c r="B82" s="1" t="s">
        <v>80</v>
      </c>
      <c r="C82" t="str">
        <f t="shared" si="2"/>
        <v>Honda Civic Type R</v>
      </c>
      <c r="D82">
        <f t="shared" si="3"/>
        <v>857500</v>
      </c>
    </row>
    <row r="83" spans="2:4" ht="15" thickBot="1" x14ac:dyDescent="0.4">
      <c r="B83" s="1" t="s">
        <v>81</v>
      </c>
      <c r="C83" t="str">
        <f t="shared" si="2"/>
        <v>Ford Mustang 5.0 Mach 1 Fastback</v>
      </c>
      <c r="D83">
        <f t="shared" si="3"/>
        <v>1210000</v>
      </c>
    </row>
    <row r="84" spans="2:4" ht="15" thickBot="1" x14ac:dyDescent="0.4">
      <c r="B84" s="1" t="s">
        <v>82</v>
      </c>
      <c r="C84" t="str">
        <f t="shared" si="2"/>
        <v>BMW M2 Coupé</v>
      </c>
      <c r="D84">
        <f t="shared" si="3"/>
        <v>1513689</v>
      </c>
    </row>
    <row r="85" spans="2:4" ht="15" thickBot="1" x14ac:dyDescent="0.4">
      <c r="B85" s="1" t="s">
        <v>83</v>
      </c>
      <c r="C85" t="str">
        <f t="shared" si="2"/>
        <v>Porsche 718 Cayman GTS 4.0</v>
      </c>
      <c r="D85">
        <f t="shared" si="3"/>
        <v>1549000</v>
      </c>
    </row>
    <row r="86" spans="2:4" ht="15" thickBot="1" x14ac:dyDescent="0.4">
      <c r="B86" s="1" t="s">
        <v>84</v>
      </c>
      <c r="C86" t="str">
        <f t="shared" si="2"/>
        <v>Porsche 718 Boxster GTS 4.0</v>
      </c>
      <c r="D86">
        <f t="shared" si="3"/>
        <v>1589000</v>
      </c>
    </row>
    <row r="87" spans="2:4" ht="15" thickBot="1" x14ac:dyDescent="0.4">
      <c r="B87" s="1" t="s">
        <v>85</v>
      </c>
      <c r="C87" t="str">
        <f t="shared" si="2"/>
        <v>Porsche 718 Spyder</v>
      </c>
      <c r="D87">
        <f t="shared" si="3"/>
        <v>1839000</v>
      </c>
    </row>
    <row r="88" spans="2:4" ht="15" thickBot="1" x14ac:dyDescent="0.4">
      <c r="B88" s="1" t="s">
        <v>86</v>
      </c>
      <c r="C88" t="str">
        <f t="shared" si="2"/>
        <v>Porsche 718 Cayman GT4</v>
      </c>
      <c r="D88">
        <f t="shared" si="3"/>
        <v>1919000</v>
      </c>
    </row>
    <row r="89" spans="2:4" ht="15" thickBot="1" x14ac:dyDescent="0.4">
      <c r="B89" s="1" t="s">
        <v>87</v>
      </c>
      <c r="C89" t="str">
        <f t="shared" si="2"/>
        <v>Porsche 911 Carrera T</v>
      </c>
      <c r="D89">
        <f t="shared" si="3"/>
        <v>2080000</v>
      </c>
    </row>
    <row r="90" spans="2:4" ht="15" thickBot="1" x14ac:dyDescent="0.4">
      <c r="B90" s="1" t="s">
        <v>88</v>
      </c>
      <c r="C90" t="str">
        <f t="shared" si="2"/>
        <v>Porsche 911 Carrera GTS Coupé</v>
      </c>
      <c r="D90">
        <f t="shared" si="3"/>
        <v>2449000</v>
      </c>
    </row>
    <row r="91" spans="2:4" ht="15" thickBot="1" x14ac:dyDescent="0.4">
      <c r="B91" s="1" t="s">
        <v>89</v>
      </c>
      <c r="C91" t="str">
        <f t="shared" si="2"/>
        <v>Porsche 911 Carrera GTS Cabriolet</v>
      </c>
      <c r="D91">
        <f t="shared" si="3"/>
        <v>2679000</v>
      </c>
    </row>
    <row r="92" spans="2:4" ht="15" thickBot="1" x14ac:dyDescent="0.4">
      <c r="B92" s="1" t="s">
        <v>90</v>
      </c>
      <c r="C92" t="str">
        <f t="shared" si="2"/>
        <v>Porsche 911 GT3</v>
      </c>
      <c r="D92">
        <f t="shared" si="3"/>
        <v>3349000</v>
      </c>
    </row>
    <row r="93" spans="2:4" ht="15" thickBot="1" x14ac:dyDescent="0.4">
      <c r="B93" s="1" t="s">
        <v>91</v>
      </c>
      <c r="C93" t="str">
        <f t="shared" si="2"/>
        <v>Porsche 911 Sport Classic</v>
      </c>
      <c r="D93">
        <f t="shared" si="3"/>
        <v>5169000</v>
      </c>
    </row>
  </sheetData>
  <hyperlinks>
    <hyperlink ref="B2" r:id="rId1" display="https://www.carmag.co.za/car-price-guide-view/suzuki-s-presso-1-0-gl/U3V6dWtpIFMtUHJlc3NvIDEuMCBHTA==/?price=162900" xr:uid="{DFEE7B76-7660-477E-9FE2-DCAE6A0E5372}"/>
    <hyperlink ref="B3" r:id="rId2" display="https://www.carmag.co.za/car-price-guide-view/suzuki-s-presso-1-0-gl/U3V6dWtpIFMtUHJlc3NvIDEuMCBHTCs=/?price=169900" xr:uid="{07423F36-DEA5-40F9-91F2-841A88EAFB04}"/>
    <hyperlink ref="B4" r:id="rId3" display="https://www.carmag.co.za/car-price-guide-view/suzuki-celerio-1-0-ga/U3V6dWtpIENlbGVyaW8gMS4wIEdB/?price=178900" xr:uid="{956C5AE5-BF3A-413D-B473-EE0172604AA7}"/>
    <hyperlink ref="B5" r:id="rId4" display="https://www.carmag.co.za/car-price-guide-view/renault-kwid-1-0-life/UmVuYXVsdCBLd2lkIDEuMCBMaWZl/?price=180999" xr:uid="{75ED6FB1-B7EF-499A-A999-68E88C59740B}"/>
    <hyperlink ref="B6" r:id="rId5" display="https://www.carmag.co.za/car-price-guide-view/suzuki-s-presso-1-0-s-edition/U3V6dWtpIFMtUHJlc3NvIDEuMCBTLUVkaXRpb24=/?price=185900" xr:uid="{2D556B41-B800-451D-9C46-7533EAFD6092}"/>
    <hyperlink ref="B7" r:id="rId6" display="https://www.carmag.co.za/car-price-guide-view/renault-kwid-1-0-zen/UmVuYXVsdCBLd2lkIDEuMCBaZW4=/?price=190999" xr:uid="{30E03F6E-75D8-4C15-AC5B-8F7BF7508B01}"/>
    <hyperlink ref="B8" r:id="rId7" display="https://www.carmag.co.za/car-price-guide-view/suzuki-dzire-1-2-ga/U3V6dWtpIERaaXJlIDEuMiBHQQ==/?price=193900" xr:uid="{A53338DE-3FFB-4F89-9AC0-32A2851C5129}"/>
    <hyperlink ref="B9" r:id="rId8" display="https://www.carmag.co.za/car-price-guide-view/suzuki-swift-1-2-ga/U3V6dWtpIFN3aWZ0IDEuMiBHQQ==/?price=194900" xr:uid="{E5A448F7-75B9-448F-9D5F-9F323E5863DD}"/>
    <hyperlink ref="B10" r:id="rId9" display="https://www.carmag.co.za/car-price-guide-view/suzuki-celerio-1-0-gl/U3V6dWtpIENlbGVyaW8gMS4wIEdM/?price=198900" xr:uid="{4AA1A389-8D17-49D9-AB77-A4B758FCC253}"/>
    <hyperlink ref="B11" r:id="rId10" display="https://www.carmag.co.za/car-price-guide-view/hyundai-atos-1-1-motion/SHl1bmRhaSBBdG9zIDEuMSBNb3Rpb24=/?price=199900" xr:uid="{E46AA025-BFCA-42D8-BA05-8EFEDA4CC7EA}"/>
    <hyperlink ref="B12" r:id="rId11" display="https://www.carmag.co.za/car-price-guide-view/toyota-agya-1-0/VG95b3RhIEFneWEgMS4w/?price=200000" xr:uid="{DDAAE6E9-DC2B-44B5-8591-1C8C65121147}"/>
    <hyperlink ref="B13" r:id="rId12" display="https://www.carmag.co.za/car-price-guide-view/renault-kwid-1-0-climber/UmVuYXVsdCBLd2lkIDEuMCBDbGltYmVy/?price=201999" xr:uid="{AC952E4D-A571-4347-949A-25AC93436FF7}"/>
    <hyperlink ref="B14" r:id="rId13" display="https://www.carmag.co.za/car-price-guide-view/kia-picanto-1-0-start/S2lhIFBpY2FudG8gMS4wIFN0YXJ0/?price=209995" xr:uid="{F789C750-2DBB-428C-BB98-C0EE3866E300}"/>
    <hyperlink ref="B15" r:id="rId14" display="https://www.carmag.co.za/car-price-guide-view/suzuki-dzire-1-2-gl/U3V6dWtpIERaaXJlIDEuMiBHTA==/?price=211900" xr:uid="{DFE3A1B0-A58D-4CAF-862B-299C2A54A4F6}"/>
    <hyperlink ref="B16" r:id="rId15" display="https://www.carmag.co.za/car-price-guide-view/suzuki-swift-1-2-gl/U3V6dWtpIFN3aWZ0IDEuMiBHTA==/?price=212900" xr:uid="{0F7FAE93-4999-4472-AF2F-1E2D9AB142B3}"/>
    <hyperlink ref="B17" r:id="rId16" display="https://www.carmag.co.za/car-price-guide-view/hyundai-grand-i10-1-0-motion/SHl1bmRhaSBHcmFuZCBpMTAgMS4wIE1vdGlvbg==/?price=214900" xr:uid="{4F69A290-D2D8-458F-AD6A-0B231AF231F8}"/>
    <hyperlink ref="B18" r:id="rId17" display="https://www.carmag.co.za/car-price-guide-view/kia-picanto-1-0-street/S2lhIFBpY2FudG8gMS4wIFN0cmVldA==/?price=223995" xr:uid="{EEBCF9D6-2257-49E8-BDB1-3EEC48FA3F47}"/>
    <hyperlink ref="B19" r:id="rId18" display="https://www.carmag.co.za/car-price-guide-view/honda-amaze-1-2-trend/SG9uZGEgQW1hemUgMS4yIFRyZW5k/?price=231200" xr:uid="{BDBFF9AD-0F66-4C1B-9E83-87E39AB68989}"/>
    <hyperlink ref="B20" r:id="rId19" display="https://www.carmag.co.za/car-price-guide-view/suzuki-baleno-1-5-gl/U3V6dWtpIEJhbGVubyAxLjUgR0w=/?price=231900" xr:uid="{2EE869BA-1BF4-47B0-BD16-B31C5AFD05D0}"/>
    <hyperlink ref="B21" r:id="rId20" display="https://www.carmag.co.za/car-price-guide-view/suzuki-swift-1-2-glx/U3V6dWtpIFN3aWZ0IDEuMiBHTFg=/?price=232900" xr:uid="{C3215F55-9F4A-4BFF-8EF2-6AAE13390F12}"/>
    <hyperlink ref="B22" r:id="rId21" display="https://www.carmag.co.za/car-price-guide-view/kia-picanto-1-2-street/S2lhIFBpY2FudG8gMS4yIFN0cmVldA==/?price=232995" xr:uid="{AE63BA31-7666-4E80-B027-DD119C80CF30}"/>
    <hyperlink ref="B23" r:id="rId22" display="https://www.carmag.co.za/car-price-guide-view/toyota-starlet-1-5-xi/VG95b3RhIFN0YXJsZXQgMS41IFhp/?price=233000" xr:uid="{C9811847-9DF9-42D4-9E3A-686C023FC506}"/>
    <hyperlink ref="B24" r:id="rId23" display="https://www.carmag.co.za/car-price-guide-view/kia-picanto-1-0-style/S2lhIFBpY2FudG8gMS4wIFN0eWxl/?price=233995" xr:uid="{583F239D-AA03-4A5C-ADE1-816AE8456E68}"/>
    <hyperlink ref="B25" r:id="rId24" display="https://www.carmag.co.za/car-price-guide-view/kia-picanto-1-2-style/S2lhIFBpY2FudG8gMS4yIFN0eWxl/?price=242995" xr:uid="{9D4F43B8-E025-4FC0-ABF4-7A2CD03D6657}"/>
    <hyperlink ref="B26" r:id="rId25" display="https://www.carmag.co.za/car-price-guide-view/toyota-starlet-1-5-xs/VG95b3RhIFN0YXJsZXQgMS41IFhT/?price=246300" xr:uid="{196BF158-1F8A-4728-9633-1A81DA01E64F}"/>
    <hyperlink ref="B27" r:id="rId26" display="https://www.carmag.co.za/car-price-guide-view/hyundai-grand-i10-1-0-fluid/SHl1bmRhaSBHcmFuZCBpMTAgMS4wIEZsdWlk/?price=246900" xr:uid="{D2FEB97E-9A17-4515-AE12-D4F43FE8EFC8}"/>
    <hyperlink ref="B28" r:id="rId27" display="https://www.carmag.co.za/car-price-guide-view/volkswagen-polo-vivo-1-4-trendline/Vm9sa3N3YWdlbiBQb2xvIFZpdm8gMS40IFRyZW5kbGluZQ==/?price=247300" xr:uid="{0C14F1B2-52DE-41DC-9DC7-4A8DB4FD76D7}"/>
    <hyperlink ref="B29" r:id="rId28" display="https://www.carmag.co.za/car-price-guide-view/honda-amaze-1-2-comfort/SG9uZGEgQW1hemUgMS4yIENvbWZvcnQ=/?price=247800" xr:uid="{2E1C1512-CFC0-41F0-8B65-2CC59B75D42D}"/>
    <hyperlink ref="B30" r:id="rId29" display="https://www.carmag.co.za/car-price-guide-view/kia-pegas-1-4-lx/S2lhIFBlZ2FzIDEuNCBMWA==/?price=254995" xr:uid="{9EAE2C1D-2D82-45D4-9706-221AAC254679}"/>
    <hyperlink ref="B31" r:id="rId30" display="https://www.carmag.co.za/car-price-guide-view/suzuki-ciaz-1-5-gl/U3V6dWtpIENpYXogMS41IEdM/?price=256900" xr:uid="{CECD9D57-F90C-488B-BE97-7F6345BF1ECD}"/>
    <hyperlink ref="B32" r:id="rId31" display="https://www.carmag.co.za/car-price-guide-view/kia-picanto-1-2-x-line/S2lhIFBpY2FudG8gMS4yIFgtTGluZQ==/?price=259995" xr:uid="{87B558C4-94E3-4E9E-BB20-F4F9796E826D}"/>
    <hyperlink ref="B33" r:id="rId32" display="https://www.carmag.co.za/car-price-guide-view/hyundai-grand-i10-1-2-fluid/SHl1bmRhaSBHcmFuZCBpMTAgMS4yIEZsdWlk/?price=261900" xr:uid="{B410A6E8-1F72-4509-8A9F-FD47AF707AC3}"/>
    <hyperlink ref="B34" r:id="rId33" display="https://www.carmag.co.za/car-price-guide-view/kia-pegas-1-4-ex/S2lhIFBlZ2FzIDEuNCBFWA==/?price=265995" xr:uid="{4BF67D78-ED38-4CB0-8C7C-43D38BBB2B72}"/>
    <hyperlink ref="B35" r:id="rId34" display="https://www.carmag.co.za/car-price-guide-view/volkswagen-polo-vivo-1-4-comfortline/Vm9sa3N3YWdlbiBQb2xvIFZpdm8gMS40IENvbWZvcnRsaW5l/?price=266900" xr:uid="{6FA5DDE1-12E4-4CFC-AE83-A48987DF128F}"/>
    <hyperlink ref="B36" r:id="rId35" display="https://www.carmag.co.za/car-price-guide-view/suzuki-baleno-1-5-glx/U3V6dWtpIEJhbGVubyAxLjUgR0xY/?price=281900" xr:uid="{98C60DBF-3362-47C0-B1A9-94F73BF575EE}"/>
    <hyperlink ref="B37" r:id="rId36" display="https://www.carmag.co.za/car-price-guide-view/nissan-almera-1-5-acenta/Tmlzc2FuIEFsbWVyYSAxLjUgQWNlbnRh/?price=291900" xr:uid="{7A62BFEC-FF92-4287-8C4B-B1CFF8F9D1E7}"/>
    <hyperlink ref="B38" r:id="rId37" display="https://www.carmag.co.za/car-price-guide-view/toyota-starlet-1-5-xr/VG95b3RhIFN0YXJsZXQgMS41IFhS/?price=294900" xr:uid="{985C59C3-9A21-41C8-87F0-8195BB198588}"/>
    <hyperlink ref="B39" r:id="rId38" display="https://www.carmag.co.za/car-price-guide-view/volkswagen-polo-vivo-1-6-highline/Vm9sa3N3YWdlbiBQb2xvIFZpdm8gMS42IEhpZ2hsaW5l/?price=296000" xr:uid="{2E0A0112-AA90-4A46-998A-FFFEF111877E}"/>
    <hyperlink ref="B40" r:id="rId39" display="https://www.carmag.co.za/car-price-guide-view/suzuki-ciaz-1-5-glx/U3V6dWtpIENpYXogMS41IEdMWA==/?price=296900" xr:uid="{BCAA1313-C30D-4651-8026-1426371FD9D4}"/>
    <hyperlink ref="B41" r:id="rId40" display="https://www.carmag.co.za/car-price-guide-view/kia-rio-1-2-ls/S2lhIFJpbyAxLjIgTFM=/?price=299995" xr:uid="{2B0F2825-A8C5-4DF0-AEAE-7CFE156B7CFE}"/>
    <hyperlink ref="B42" r:id="rId41" display="https://www.carmag.co.za/car-price-guide-view/mazda-mazda2-1-5-active/TWF6ZGEgTWF6ZGEyIDEuNSBBY3RpdmU=/?price=302300" xr:uid="{175292DB-94AD-4FCC-A0C1-6BD2A49B57CB}"/>
    <hyperlink ref="B43" r:id="rId42" display="https://www.carmag.co.za/car-price-guide-view/hyundai-i20-1-2-motion/SHl1bmRhaSBpMjAgMS4yIE1vdGlvbg==/?price=304900" xr:uid="{DF20ED7D-FF85-4AEC-940C-5AAD6B2351B3}"/>
    <hyperlink ref="B44" r:id="rId43" display="https://www.carmag.co.za/car-price-guide-view/citroen-c3-1-2-feel/Q2l0cm/Dq24gQzMgMS4yIEZlZWw=/?price=305900" xr:uid="{3A9F394C-7D75-4D3A-8162-C744DB717E9A}"/>
    <hyperlink ref="B45" r:id="rId44" display="https://www.carmag.co.za/car-price-guide-view/toyota-corolla-quest-1-8-plus/VG95b3RhIENvcm9sbGEgUXVlc3QgMS44IFBsdXM=/?price=307400" xr:uid="{C02BC248-6E5E-4AD1-A0C9-97F521D9F304}"/>
    <hyperlink ref="B46" r:id="rId45" display="https://www.carmag.co.za/car-price-guide-view/renault-clio-1-0-turbo-life/UmVuYXVsdCBDbGlvIDEuMCBUdXJibyBMaWZl/?price=309999" xr:uid="{123B6838-D866-47EE-B5D1-7F1755ADF09E}"/>
    <hyperlink ref="B47" r:id="rId46" display="https://www.carmag.co.za/car-price-guide-view/kia-rio-1-4-ls/S2lhIFJpbyAxLjQgTFM=/?price=313995" xr:uid="{2BE25854-6E42-4755-AF1B-9FC1C3CBF89F}"/>
    <hyperlink ref="B48" r:id="rId47" display="https://www.carmag.co.za/car-price-guide-view/hyundai-i20-1-2-fluid/SHl1bmRhaSBpMjAgMS4yIEZsdWlk/?price=319900" xr:uid="{BA5F9CD4-D360-4D53-839B-5D6214916CE2}"/>
    <hyperlink ref="B49" r:id="rId48" display="https://www.carmag.co.za/car-price-guide-view/renault-clio-1-0-turbo-zen/UmVuYXVsdCBDbGlvIDEuMCBUdXJibyBaZW4=/?price=324999" xr:uid="{32248D86-1E68-4B99-9341-7B198130C93A}"/>
    <hyperlink ref="B50" r:id="rId49" display="https://www.carmag.co.za/car-price-guide-view/opel-corsa-1-2/T3BlbCBDb3JzYSAxLjI=/?price=325900" xr:uid="{A98D965C-8207-4B8F-9243-4FF53599EBEE}"/>
    <hyperlink ref="B51" r:id="rId50" display="https://www.carmag.co.za/car-price-guide-view/fiat-tipo-sedan-1-4/RmlhdCBUaXBvIFNlZGFuIDEuNA==/?price=327900" xr:uid="{BCD480AC-FCF1-437D-BBD9-75649A726233}"/>
    <hyperlink ref="B52" r:id="rId51" display="https://www.carmag.co.za/car-price-guide-view/kia-rio-1-4-lx/S2lhIFJpbyAxLjQgTFg=/?price=328995" xr:uid="{6EF3A99C-17E6-4AE3-A045-5A77EC76FAFD}"/>
    <hyperlink ref="B53" r:id="rId52" display="https://www.carmag.co.za/car-price-guide-view/peugeot-208-1-2-active/UGV1Z2VvdCAyMDggMS4yIEFjdGl2ZQ==/?price=329900" xr:uid="{95923E5F-9710-4D8F-B8EF-340A5BE85C6D}"/>
    <hyperlink ref="B54" r:id="rId53" display="https://www.carmag.co.za/car-price-guide-view/mazda-mazda2-1-5-dynamic/TWF6ZGEgTWF6ZGEyIDEuNSBEeW5hbWlj/?price=330200" xr:uid="{11E75416-2036-459D-9E0F-D8860241F8E1}"/>
    <hyperlink ref="B55" r:id="rId54" display="https://www.carmag.co.za/car-price-guide-view/volkswagen-polo-sedan-1-6/Vm9sa3N3YWdlbiBQb2xvIFNlZGFuIDEuNg==/?price=332400" xr:uid="{32DC7AD2-7D98-4CFF-A5FB-DCE7C1A45FDF}"/>
    <hyperlink ref="B56" r:id="rId55" display="https://www.carmag.co.za/car-price-guide-view/volkswagen-polo-vivo-1-0tsi-gt/Vm9sa3N3YWdlbiBQb2xvIFZpdm8gMS4wVFNJIEdU/?price=332800" xr:uid="{451C9836-D634-41A9-ACA1-788EA0B31BC4}"/>
    <hyperlink ref="B57" r:id="rId56" display="https://www.carmag.co.za/car-price-guide-view/volkswagen-polo-hatch-1-0tsi-70kw/Vm9sa3N3YWdlbiBQb2xvIEhhdGNoIDEuMFRTSSA3MGtX/?price=334400" xr:uid="{7A16718F-7ECB-47F3-ACCA-C2C25C638F69}"/>
    <hyperlink ref="B58" r:id="rId57" display="https://www.carmag.co.za/car-price-guide-view/kia-rio-1-4-ex/S2lhIFJpbyAxLjQgRVg=/?price=341995" xr:uid="{0D656969-F9A0-436F-8839-6E1ABAED80B1}"/>
    <hyperlink ref="B59" r:id="rId58" display="https://www.carmag.co.za/car-price-guide-view/toyota-corolla-quest-1-8-prestige/VG95b3RhIENvcm9sbGEgUXVlc3QgMS44IFByZXN0aWdl/?price=348400" xr:uid="{DC558360-24FD-4AE5-8539-BC219D00C71D}"/>
    <hyperlink ref="B60" r:id="rId59" display="https://www.carmag.co.za/car-price-guide-view/opel-corsa-1-2t-edition/T3BlbCBDb3JzYSAxLjJUIEVkaXRpb24=/?price=356900" xr:uid="{8DFB0562-B11B-40B8-953A-A32414402DE2}"/>
    <hyperlink ref="B61" r:id="rId60" display="https://www.carmag.co.za/car-price-guide-view/mazda-mazda2-1-5-individual/TWF6ZGEgTWF6ZGEyIDEuNSBJbmRpdmlkdWFs/?price=358700" xr:uid="{448630FD-87A0-42BE-AF2B-38FDBC0BF5F6}"/>
    <hyperlink ref="B62" r:id="rId61" display="https://www.carmag.co.za/car-price-guide-view/volkswagen-polo-sedan-1-6-life/Vm9sa3N3YWdlbiBQb2xvIFNlZGFuIDEuNiBMaWZl/?price=360900" xr:uid="{D76AC86F-8D69-45FE-BFDF-2E0AAB0A7825}"/>
    <hyperlink ref="B63" r:id="rId62" display="https://www.carmag.co.za/car-price-guide-view/hyundai-i20-1-0t-fluid/SHl1bmRhaSBpMjAgMS4wVCBGbHVpZA==/?price=362900" xr:uid="{95544FA0-2844-4368-9F71-FE5539115308}"/>
    <hyperlink ref="B64" r:id="rId63" display="https://www.carmag.co.za/car-price-guide-view/renault-clio-1-0-turbo-intens/UmVuYXVsdCBDbGlvIDEuMCBUdXJibyBJbnRlbnM=/?price=364999" xr:uid="{F625C57A-82C3-492B-83F8-866BE381478C}"/>
    <hyperlink ref="B65" r:id="rId64" display="https://www.carmag.co.za/car-price-guide-view/kia-rio-1-4-tec/S2lhIFJpbyAxLjQgVGVj/?price=366995" xr:uid="{AECF0230-8E0E-4FB3-ADBA-9EBB2BF12C89}"/>
    <hyperlink ref="B66" r:id="rId65" display="https://www.carmag.co.za/car-price-guide-view/toyota-corolla-quest-1-8-exclusive/VG95b3RhIENvcm9sbGEgUXVlc3QgMS44IEV4Y2x1c2l2ZQ==/?price=367500" xr:uid="{95FF7681-81BA-4C89-AB42-83CF099055CC}"/>
    <hyperlink ref="B67" r:id="rId66" display="https://www.carmag.co.za/car-price-guide-view/volkswagen-polo-hatch-1-0tsi-70kw-life/Vm9sa3N3YWdlbiBQb2xvIEhhdGNoIDEuMFRTSSA3MGtXIExpZmU=/?price=375400" xr:uid="{FAF46432-2D0D-486E-9BE6-177B52F6CC20}"/>
    <hyperlink ref="B68" r:id="rId67" display="https://www.carmag.co.za/car-price-guide-view/peugeot-208-1-2t-allure/UGV1Z2VvdCAyMDggMS4yVCBBbGx1cmU=/?price=379900" xr:uid="{024C7799-A883-4622-9F17-64D45E67B92B}"/>
    <hyperlink ref="B69" r:id="rId68" display="https://www.carmag.co.za/car-price-guide-view/fiat-tipo-hatch-1-4-city-life/RmlhdCBUaXBvIEhhdGNoIDEuNCBDaXR5IExpZmU=/?price=390900" xr:uid="{BA26821D-6D71-4648-BBFE-8FDE0698F163}"/>
    <hyperlink ref="B70" r:id="rId69" display="https://www.carmag.co.za/car-price-guide-view/suzuki-swift-1-4t-sport/U3V6dWtpIFN3aWZ0IDEuNFQgU3BvcnQ=/?price=392900" xr:uid="{70EBD280-6A8B-438F-8FBC-4EA2C01E39FA}"/>
    <hyperlink ref="B71" r:id="rId70" display="https://www.carmag.co.za/car-price-guide-view/fiat-tipo-sedan-1-4-city-life/RmlhdCBUaXBvIFNlZGFuIDEuNCBDaXR5IExpZmU=/?price=404900" xr:uid="{29D083F9-83B5-4394-8CAB-8BFB9B4905BB}"/>
    <hyperlink ref="B72" r:id="rId71" display="https://www.carmag.co.za/car-price-guide-view/abarth-500-595-turismo-1-4t/QWJhcnRoIDUwMCA1OTUgdHVyaXNtbyAxLjRU/?price=409900" xr:uid="{AE25857B-E457-4042-B68B-EC2BA3A83237}"/>
    <hyperlink ref="B73" r:id="rId72" display="https://www.carmag.co.za/car-price-guide-view/mazda-mazda3-hatch-1-5-active/TWF6ZGEgTWF6ZGEzIEhhdGNoIDEuNSBBY3RpdmU=/?price=421900" xr:uid="{4AB4B279-B7B5-4AEA-8CD6-0D2AE3AA07B5}"/>
    <hyperlink ref="B74" r:id="rId73" display="https://www.carmag.co.za/car-price-guide-view/fiat-tipo-hatch-1-4-life/RmlhdCBUaXBvIEhhdGNoIDEuNCBMaWZl/?price=430900" xr:uid="{DF714DBF-352B-47C9-8F98-11D92336747B}"/>
    <hyperlink ref="B75" r:id="rId74" display="https://www.carmag.co.za/car-price-guide-view/mazda-mazda3-hatch-1-5-dynamic/TWF6ZGEgTWF6ZGEzIEhhdGNoIDEuNSBEeW5hbWlj/?price=438600" xr:uid="{6BAE3234-7837-42C0-8E7A-3959B74F62FA}"/>
    <hyperlink ref="B76" r:id="rId75" display="https://www.carmag.co.za/car-price-guide-view/abarth-500-595-competizione-1-4t/QWJhcnRoIDUwMCA1OTUgY29tcGV0aXppb25lIDEuNFQ=/?price=491900" xr:uid="{206C893A-8EC2-4D01-A5D4-11CDE099037F}"/>
    <hyperlink ref="B77" r:id="rId76" display="https://www.carmag.co.za/car-price-guide-view/mazda-mazda3-hatch-1-5-individual/TWF6ZGEgTWF6ZGEzIEhhdGNoIDEuNSBJbmRpdmlkdWFs/?price=494000" xr:uid="{9B08C259-DB94-477F-8EB2-41D8F28F8774}"/>
    <hyperlink ref="B78" r:id="rId77" display="https://www.carmag.co.za/car-price-guide-view/abarth-500-595-monster-energy-yamaha-cabriolet/QWJhcnRoIDUwMCA1OTUgTW9uc3RlciBFbmVyZ3kgWWFtYWhhIENhYnJpb2xldA==/?price=509900" xr:uid="{65F83BA0-7479-42D5-9564-136B14170E0D}"/>
    <hyperlink ref="B79" r:id="rId78" display="https://www.carmag.co.za/car-price-guide-view/toyota-gr86/VG95b3RhIEdSODY=/?price=712100" xr:uid="{1438D432-45AC-4D73-B7ED-C7A473168048}"/>
    <hyperlink ref="B80" r:id="rId79" display="https://www.carmag.co.za/car-price-guide-view/toyota-gr-yaris-1-6t-gr-four-rally/VG95b3RhIEdSIFlhcmlzIDEuNlQgR1ItRm91ciBSYWxseQ==/?price=791900" xr:uid="{1BAA1257-0853-4700-8A33-904A9813211C}"/>
    <hyperlink ref="B81" r:id="rId80" display="https://www.carmag.co.za/car-price-guide-view/subaru-wrx-2-4t/U3ViYXJ1IFdSWCAyLjRU/?price=799000" xr:uid="{11A1C67D-52AA-44E1-857F-CEE90238346B}"/>
    <hyperlink ref="B82" r:id="rId81" display="https://www.carmag.co.za/car-price-guide-view/honda-civic-type-r/SG9uZGEgQ2l2aWMgVHlwZSBS/?price=857500" xr:uid="{F1AF2920-379E-45D4-96FC-2028F4C7956E}"/>
    <hyperlink ref="B83" r:id="rId82" display="https://www.carmag.co.za/car-price-guide-view/ford-mustang-5-0-mach-1-fastback/Rm9yZCBNdXN0YW5nIDUuMCBNYWNoIDEgRmFzdGJhY2s=/?price=1210000" xr:uid="{BC6B4326-ECF4-43D7-8B0E-4307F37C7EF7}"/>
    <hyperlink ref="B84" r:id="rId83" display="https://www.carmag.co.za/car-price-guide-view/bmw-m2-coupe/Qk1XIE0yIENvdXDDqQ==/?price=1513689" xr:uid="{42A6FF29-96D9-4F05-9E1C-9D1DD2C28DC5}"/>
    <hyperlink ref="B85" r:id="rId84" display="https://www.carmag.co.za/car-price-guide-view/porsche-718-cayman-gts-4-0/UG9yc2NoZSA3MTggQ2F5bWFuIEdUUyA0LjA=/?price=1549000" xr:uid="{9368CED3-CC32-4E73-9484-BFCDE02008EE}"/>
    <hyperlink ref="B86" r:id="rId85" display="https://www.carmag.co.za/car-price-guide-view/porsche-718-boxster-gts-4-0/UG9yc2NoZSA3MTggQm94c3RlciBHVFMgNC4w/?price=1589000" xr:uid="{64266B15-C6DB-458C-8B0C-51E35FD6E27D}"/>
    <hyperlink ref="B87" r:id="rId86" display="https://www.carmag.co.za/car-price-guide-view/porsche-718-spyder/UG9yc2NoZSA3MTggU3B5ZGVy/?price=1839000" xr:uid="{EA35E535-0D3B-4214-8A5D-7D2A6866247D}"/>
    <hyperlink ref="B88" r:id="rId87" display="https://www.carmag.co.za/car-price-guide-view/porsche-718-cayman-gt4/UG9yc2NoZSA3MTggQ2F5bWFuIEdUNA==/?price=1919000" xr:uid="{390ECA58-ABE0-4A81-A699-985B19B9501A}"/>
    <hyperlink ref="B89" r:id="rId88" display="https://www.carmag.co.za/car-price-guide-view/porsche-911-carrera-t/UG9yc2NoZSA5MTEgQ2FycmVyYSBU/?price=2080000" xr:uid="{BBAECDA0-05DD-434A-B1E1-BA4489F8B3D4}"/>
    <hyperlink ref="B90" r:id="rId89" display="https://www.carmag.co.za/car-price-guide-view/porsche-911-carrera-gts-coupe/UG9yc2NoZSA5MTEgQ2FycmVyYSBHVFMgQ291cMOp/?price=2449000" xr:uid="{B544BCFD-A5F3-4892-8427-BEA7D415F633}"/>
    <hyperlink ref="B91" r:id="rId90" display="https://www.carmag.co.za/car-price-guide-view/porsche-911-carrera-gts-cabriolet/UG9yc2NoZSA5MTEgQ2FycmVyYSBHVFMgQ2FicmlvbGV0/?price=2679000" xr:uid="{5DD680F2-AB1E-466A-A288-76F5DD96644E}"/>
    <hyperlink ref="B92" r:id="rId91" display="https://www.carmag.co.za/car-price-guide-view/porsche-911-gt3/UG9yc2NoZSA5MTEgR1Qz/?price=3349000" xr:uid="{AD1C5348-EB8A-4B6E-9B96-D047F7623301}"/>
    <hyperlink ref="B93" r:id="rId92" display="https://www.carmag.co.za/car-price-guide-view/porsche-911-sport-classic/UG9yc2NoZSA5MTEgU3BvcnQgQ2xhc3NpYw==/?price=5169000" xr:uid="{BADD9DCF-D4A9-4444-9C6E-F4B88C3F1C45}"/>
  </hyperlinks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F7FD-0E02-4300-BE14-179846D58FA9}">
  <dimension ref="B1:D354"/>
  <sheetViews>
    <sheetView topLeftCell="A321" workbookViewId="0">
      <selection activeCell="J20" sqref="J20"/>
    </sheetView>
  </sheetViews>
  <sheetFormatPr defaultRowHeight="14.5" x14ac:dyDescent="0.35"/>
  <cols>
    <col min="2" max="2" width="43" customWidth="1"/>
    <col min="3" max="3" width="40" customWidth="1"/>
    <col min="4" max="4" width="21" customWidth="1"/>
  </cols>
  <sheetData>
    <row r="1" spans="2:4" x14ac:dyDescent="0.35">
      <c r="B1" s="2" t="s">
        <v>92</v>
      </c>
      <c r="C1" s="2" t="s">
        <v>94</v>
      </c>
      <c r="D1" s="2" t="s">
        <v>93</v>
      </c>
    </row>
    <row r="2" spans="2:4" ht="15" thickBot="1" x14ac:dyDescent="0.4">
      <c r="B2" s="1" t="s">
        <v>95</v>
      </c>
      <c r="C2" t="str">
        <f>TRIM(LEFT(B2, FIND("©",SUBSTITUTE(B2,"R","©",LEN(B2)-LEN(SUBSTITUTE(B2,"R",""))))-1))</f>
        <v>Suzuki S-Presso 1.0 GL</v>
      </c>
      <c r="D2">
        <f>--SUBSTITUTE(TRIM(RIGHT(B2, LEN(B2) - FIND("©",SUBSTITUTE(B2,"R","©",LEN(B2)-LEN(SUBSTITUTE(B2,"R","")))))), " ", "")</f>
        <v>176900</v>
      </c>
    </row>
    <row r="3" spans="2:4" ht="15" thickBot="1" x14ac:dyDescent="0.4">
      <c r="B3" s="1" t="s">
        <v>96</v>
      </c>
      <c r="C3" t="str">
        <f t="shared" ref="C3:C66" si="0">TRIM(LEFT(B3, FIND("©",SUBSTITUTE(B3,"R","©",LEN(B3)-LEN(SUBSTITUTE(B3,"R",""))))-1))</f>
        <v>Suzuki S-Presso 1.0 GL+</v>
      </c>
      <c r="D3">
        <f t="shared" ref="D3:D66" si="1">--SUBSTITUTE(TRIM(RIGHT(B3, LEN(B3) - FIND("©",SUBSTITUTE(B3,"R","©",LEN(B3)-LEN(SUBSTITUTE(B3,"R","")))))), " ", "")</f>
        <v>183900</v>
      </c>
    </row>
    <row r="4" spans="2:4" ht="15" thickBot="1" x14ac:dyDescent="0.4">
      <c r="B4" s="1" t="s">
        <v>97</v>
      </c>
      <c r="C4" t="str">
        <f t="shared" si="0"/>
        <v>Suzuki S-Presso 1.0 S-Edition</v>
      </c>
      <c r="D4">
        <f t="shared" si="1"/>
        <v>199900</v>
      </c>
    </row>
    <row r="5" spans="2:4" ht="15" thickBot="1" x14ac:dyDescent="0.4">
      <c r="B5" s="1" t="s">
        <v>98</v>
      </c>
      <c r="C5" t="str">
        <f t="shared" si="0"/>
        <v>Renault Kwid 1.0 Zen</v>
      </c>
      <c r="D5">
        <f t="shared" si="1"/>
        <v>200999</v>
      </c>
    </row>
    <row r="6" spans="2:4" ht="15" thickBot="1" x14ac:dyDescent="0.4">
      <c r="B6" s="1" t="s">
        <v>99</v>
      </c>
      <c r="C6" t="str">
        <f t="shared" si="0"/>
        <v>Hyundai Atos 1.1 Motion</v>
      </c>
      <c r="D6">
        <f t="shared" si="1"/>
        <v>209900</v>
      </c>
    </row>
    <row r="7" spans="2:4" ht="15" thickBot="1" x14ac:dyDescent="0.4">
      <c r="B7" s="1" t="s">
        <v>100</v>
      </c>
      <c r="C7" t="str">
        <f t="shared" si="0"/>
        <v>Renault Kwid 1.0 Climber</v>
      </c>
      <c r="D7">
        <f t="shared" si="1"/>
        <v>211999</v>
      </c>
    </row>
    <row r="8" spans="2:4" ht="15" thickBot="1" x14ac:dyDescent="0.4">
      <c r="B8" s="1" t="s">
        <v>101</v>
      </c>
      <c r="C8" t="str">
        <f t="shared" si="0"/>
        <v>Suzuki Celerio 1.0 GL</v>
      </c>
      <c r="D8">
        <f t="shared" si="1"/>
        <v>213900</v>
      </c>
    </row>
    <row r="9" spans="2:4" ht="15" thickBot="1" x14ac:dyDescent="0.4">
      <c r="B9" s="1" t="s">
        <v>102</v>
      </c>
      <c r="C9" t="str">
        <f t="shared" si="0"/>
        <v>Toyota Agya 1.0</v>
      </c>
      <c r="D9">
        <f t="shared" si="1"/>
        <v>215600</v>
      </c>
    </row>
    <row r="10" spans="2:4" ht="15" thickBot="1" x14ac:dyDescent="0.4">
      <c r="B10" s="1" t="s">
        <v>103</v>
      </c>
      <c r="C10" t="str">
        <f t="shared" si="0"/>
        <v>Kia Picanto 1.0 Start</v>
      </c>
      <c r="D10">
        <f t="shared" si="1"/>
        <v>223995</v>
      </c>
    </row>
    <row r="11" spans="2:4" ht="15" thickBot="1" x14ac:dyDescent="0.4">
      <c r="B11" s="1" t="s">
        <v>104</v>
      </c>
      <c r="C11" t="str">
        <f t="shared" si="0"/>
        <v>Suzuki DZire 1.2 GL</v>
      </c>
      <c r="D11">
        <f t="shared" si="1"/>
        <v>226900</v>
      </c>
    </row>
    <row r="12" spans="2:4" ht="15" thickBot="1" x14ac:dyDescent="0.4">
      <c r="B12" s="1" t="s">
        <v>105</v>
      </c>
      <c r="C12" t="str">
        <f t="shared" si="0"/>
        <v>Suzuki Swift 1.2 GL</v>
      </c>
      <c r="D12">
        <f t="shared" si="1"/>
        <v>227900</v>
      </c>
    </row>
    <row r="13" spans="2:4" ht="15" thickBot="1" x14ac:dyDescent="0.4">
      <c r="B13" s="1" t="s">
        <v>106</v>
      </c>
      <c r="C13" t="str">
        <f t="shared" si="0"/>
        <v>Kia Picanto 1.0 Street</v>
      </c>
      <c r="D13">
        <f t="shared" si="1"/>
        <v>237995</v>
      </c>
    </row>
    <row r="14" spans="2:4" ht="15" thickBot="1" x14ac:dyDescent="0.4">
      <c r="B14" s="1" t="s">
        <v>107</v>
      </c>
      <c r="C14" t="str">
        <f t="shared" si="0"/>
        <v>Hyundai Grand i10 1.0 Motion</v>
      </c>
      <c r="D14">
        <f t="shared" si="1"/>
        <v>242900</v>
      </c>
    </row>
    <row r="15" spans="2:4" ht="15" thickBot="1" x14ac:dyDescent="0.4">
      <c r="B15" s="1" t="s">
        <v>108</v>
      </c>
      <c r="C15" t="str">
        <f t="shared" si="0"/>
        <v>Kia Picanto 1.2 Street</v>
      </c>
      <c r="D15">
        <f t="shared" si="1"/>
        <v>246995</v>
      </c>
    </row>
    <row r="16" spans="2:4" ht="15" thickBot="1" x14ac:dyDescent="0.4">
      <c r="B16" s="1" t="s">
        <v>109</v>
      </c>
      <c r="C16" t="str">
        <f t="shared" si="0"/>
        <v>Kia Picanto 1.0 Style</v>
      </c>
      <c r="D16">
        <f t="shared" si="1"/>
        <v>247995</v>
      </c>
    </row>
    <row r="17" spans="2:4" ht="15" thickBot="1" x14ac:dyDescent="0.4">
      <c r="B17" s="1" t="s">
        <v>110</v>
      </c>
      <c r="C17" t="str">
        <f t="shared" si="0"/>
        <v>Suzuki Swift 1.2 GLX</v>
      </c>
      <c r="D17">
        <f t="shared" si="1"/>
        <v>248900</v>
      </c>
    </row>
    <row r="18" spans="2:4" ht="15" thickBot="1" x14ac:dyDescent="0.4">
      <c r="B18" s="1" t="s">
        <v>111</v>
      </c>
      <c r="C18" t="str">
        <f t="shared" si="0"/>
        <v>Fiat 500 TwinAir Cult</v>
      </c>
      <c r="D18">
        <f t="shared" si="1"/>
        <v>249900</v>
      </c>
    </row>
    <row r="19" spans="2:4" ht="15" thickBot="1" x14ac:dyDescent="0.4">
      <c r="B19" s="1" t="s">
        <v>112</v>
      </c>
      <c r="C19" t="str">
        <f t="shared" si="0"/>
        <v>Suzuki Baleno 1.5 GL</v>
      </c>
      <c r="D19">
        <f t="shared" si="1"/>
        <v>251900</v>
      </c>
    </row>
    <row r="20" spans="2:4" ht="15" thickBot="1" x14ac:dyDescent="0.4">
      <c r="B20" s="1" t="s">
        <v>113</v>
      </c>
      <c r="C20" t="str">
        <f t="shared" si="0"/>
        <v>Kia Picanto 1.2 Style</v>
      </c>
      <c r="D20">
        <f t="shared" si="1"/>
        <v>256995</v>
      </c>
    </row>
    <row r="21" spans="2:4" ht="15" thickBot="1" x14ac:dyDescent="0.4">
      <c r="B21" s="1" t="s">
        <v>114</v>
      </c>
      <c r="C21" t="str">
        <f t="shared" si="0"/>
        <v>Honda Amaze 1.2 Comfort</v>
      </c>
      <c r="D21">
        <f t="shared" si="1"/>
        <v>266800</v>
      </c>
    </row>
    <row r="22" spans="2:4" ht="15" thickBot="1" x14ac:dyDescent="0.4">
      <c r="B22" s="1" t="s">
        <v>115</v>
      </c>
      <c r="C22" t="str">
        <f t="shared" si="0"/>
        <v>Toyota Starlet 1.5 XS</v>
      </c>
      <c r="D22">
        <f t="shared" si="1"/>
        <v>268900</v>
      </c>
    </row>
    <row r="23" spans="2:4" ht="15" thickBot="1" x14ac:dyDescent="0.4">
      <c r="B23" s="1" t="s">
        <v>116</v>
      </c>
      <c r="C23" t="str">
        <f t="shared" si="0"/>
        <v>Suzuki Ciaz 1.5 GL</v>
      </c>
      <c r="D23">
        <f t="shared" si="1"/>
        <v>273900</v>
      </c>
    </row>
    <row r="24" spans="2:4" ht="15" thickBot="1" x14ac:dyDescent="0.4">
      <c r="B24" s="1" t="s">
        <v>117</v>
      </c>
      <c r="C24" t="str">
        <f t="shared" si="0"/>
        <v>Kia Picanto 1.2 X-Line</v>
      </c>
      <c r="D24">
        <f t="shared" si="1"/>
        <v>273995</v>
      </c>
    </row>
    <row r="25" spans="2:4" ht="15" thickBot="1" x14ac:dyDescent="0.4">
      <c r="B25" s="1" t="s">
        <v>118</v>
      </c>
      <c r="C25" t="str">
        <f t="shared" si="0"/>
        <v>Kia Pegas 1.4 EX</v>
      </c>
      <c r="D25">
        <f t="shared" si="1"/>
        <v>280995</v>
      </c>
    </row>
    <row r="26" spans="2:4" ht="15" thickBot="1" x14ac:dyDescent="0.4">
      <c r="B26" s="1" t="s">
        <v>119</v>
      </c>
      <c r="C26" t="str">
        <f t="shared" si="0"/>
        <v>Fiat 500 TwinAir Club</v>
      </c>
      <c r="D26">
        <f t="shared" si="1"/>
        <v>289900</v>
      </c>
    </row>
    <row r="27" spans="2:4" ht="15" thickBot="1" x14ac:dyDescent="0.4">
      <c r="B27" s="1" t="s">
        <v>120</v>
      </c>
      <c r="C27" t="str">
        <f t="shared" si="0"/>
        <v>Hyundai Grand i10 1.2 Fluid</v>
      </c>
      <c r="D27">
        <f t="shared" si="1"/>
        <v>291900</v>
      </c>
    </row>
    <row r="28" spans="2:4" ht="15" thickBot="1" x14ac:dyDescent="0.4">
      <c r="B28" s="1" t="s">
        <v>121</v>
      </c>
      <c r="C28" t="str">
        <f t="shared" si="0"/>
        <v>Volkswagen Polo Vivo 1.6 Comfortline</v>
      </c>
      <c r="D28">
        <f t="shared" si="1"/>
        <v>296600</v>
      </c>
    </row>
    <row r="29" spans="2:4" ht="15" thickBot="1" x14ac:dyDescent="0.4">
      <c r="B29" s="1" t="s">
        <v>122</v>
      </c>
      <c r="C29" t="str">
        <f t="shared" si="0"/>
        <v>Suzuki Baleno 1.5 GLX</v>
      </c>
      <c r="D29">
        <f t="shared" si="1"/>
        <v>301900</v>
      </c>
    </row>
    <row r="30" spans="2:4" ht="15" thickBot="1" x14ac:dyDescent="0.4">
      <c r="B30" s="1" t="s">
        <v>123</v>
      </c>
      <c r="C30" t="str">
        <f t="shared" si="0"/>
        <v>Nissan Almera 1.5 Acenta</v>
      </c>
      <c r="D30">
        <f t="shared" si="1"/>
        <v>310000</v>
      </c>
    </row>
    <row r="31" spans="2:4" ht="15" thickBot="1" x14ac:dyDescent="0.4">
      <c r="B31" s="1" t="s">
        <v>124</v>
      </c>
      <c r="C31" t="str">
        <f t="shared" si="0"/>
        <v>Suzuki Ciaz 1.5 GLX</v>
      </c>
      <c r="D31">
        <f t="shared" si="1"/>
        <v>311900</v>
      </c>
    </row>
    <row r="32" spans="2:4" ht="15" thickBot="1" x14ac:dyDescent="0.4">
      <c r="B32" s="1" t="s">
        <v>125</v>
      </c>
      <c r="C32" t="str">
        <f t="shared" si="0"/>
        <v>Toyota Starlet 1.5 XR</v>
      </c>
      <c r="D32">
        <f t="shared" si="1"/>
        <v>313300</v>
      </c>
    </row>
    <row r="33" spans="2:4" ht="15" thickBot="1" x14ac:dyDescent="0.4">
      <c r="B33" s="1" t="s">
        <v>126</v>
      </c>
      <c r="C33" t="str">
        <f t="shared" si="0"/>
        <v>Fiat 500 TwinAir Dolcevita</v>
      </c>
      <c r="D33">
        <f t="shared" si="1"/>
        <v>322900</v>
      </c>
    </row>
    <row r="34" spans="2:4" ht="15" thickBot="1" x14ac:dyDescent="0.4">
      <c r="B34" s="1" t="s">
        <v>127</v>
      </c>
      <c r="C34" t="str">
        <f t="shared" si="0"/>
        <v>Toyota Corolla Quest 1.8 Plus</v>
      </c>
      <c r="D34">
        <f t="shared" si="1"/>
        <v>329000</v>
      </c>
    </row>
    <row r="35" spans="2:4" ht="15" thickBot="1" x14ac:dyDescent="0.4">
      <c r="B35" s="1" t="s">
        <v>128</v>
      </c>
      <c r="C35" t="str">
        <f t="shared" si="0"/>
        <v>Kia Rio 1.4 LS</v>
      </c>
      <c r="D35">
        <f t="shared" si="1"/>
        <v>330995</v>
      </c>
    </row>
    <row r="36" spans="2:4" ht="15" thickBot="1" x14ac:dyDescent="0.4">
      <c r="B36" s="1" t="s">
        <v>129</v>
      </c>
      <c r="C36" t="str">
        <f t="shared" si="0"/>
        <v>Hyundai i20 1.4 Motion</v>
      </c>
      <c r="D36">
        <f t="shared" si="1"/>
        <v>336900</v>
      </c>
    </row>
    <row r="37" spans="2:4" ht="15" thickBot="1" x14ac:dyDescent="0.4">
      <c r="B37" s="1" t="s">
        <v>130</v>
      </c>
      <c r="C37" t="str">
        <f t="shared" si="0"/>
        <v>Kia Rio 1.4 LX</v>
      </c>
      <c r="D37">
        <f t="shared" si="1"/>
        <v>345995</v>
      </c>
    </row>
    <row r="38" spans="2:4" ht="15" thickBot="1" x14ac:dyDescent="0.4">
      <c r="B38" s="1" t="s">
        <v>131</v>
      </c>
      <c r="C38" t="str">
        <f t="shared" si="0"/>
        <v>Honda Fit 1.5 Comfort</v>
      </c>
      <c r="D38">
        <f t="shared" si="1"/>
        <v>347500</v>
      </c>
    </row>
    <row r="39" spans="2:4" ht="15" thickBot="1" x14ac:dyDescent="0.4">
      <c r="B39" s="1" t="s">
        <v>132</v>
      </c>
      <c r="C39" t="str">
        <f t="shared" si="0"/>
        <v>Mazda Mazda2 1.5 Dynamic</v>
      </c>
      <c r="D39">
        <f t="shared" si="1"/>
        <v>349100</v>
      </c>
    </row>
    <row r="40" spans="2:4" ht="15" thickBot="1" x14ac:dyDescent="0.4">
      <c r="B40" s="1" t="s">
        <v>133</v>
      </c>
      <c r="C40" t="str">
        <f t="shared" si="0"/>
        <v>Kia Rio 1.4 EX</v>
      </c>
      <c r="D40">
        <f t="shared" si="1"/>
        <v>358995</v>
      </c>
    </row>
    <row r="41" spans="2:4" ht="15" thickBot="1" x14ac:dyDescent="0.4">
      <c r="B41" s="1" t="s">
        <v>134</v>
      </c>
      <c r="C41" t="str">
        <f t="shared" si="0"/>
        <v>Fiat 500 500C TwinAir Dolcevita</v>
      </c>
      <c r="D41">
        <f t="shared" si="1"/>
        <v>359900</v>
      </c>
    </row>
    <row r="42" spans="2:4" ht="15" thickBot="1" x14ac:dyDescent="0.4">
      <c r="B42" s="1" t="s">
        <v>135</v>
      </c>
      <c r="C42" t="str">
        <f t="shared" si="0"/>
        <v>Toyota Corolla Quest 1.8 Prestige</v>
      </c>
      <c r="D42">
        <f t="shared" si="1"/>
        <v>360600</v>
      </c>
    </row>
    <row r="43" spans="2:4" ht="15" thickBot="1" x14ac:dyDescent="0.4">
      <c r="B43" s="1" t="s">
        <v>136</v>
      </c>
      <c r="C43" t="str">
        <f t="shared" si="0"/>
        <v>Honda Ballade 1.5 Comfort</v>
      </c>
      <c r="D43">
        <f t="shared" si="1"/>
        <v>374000</v>
      </c>
    </row>
    <row r="44" spans="2:4" ht="15" thickBot="1" x14ac:dyDescent="0.4">
      <c r="B44" s="1" t="s">
        <v>137</v>
      </c>
      <c r="C44" t="str">
        <f t="shared" si="0"/>
        <v>Citroën C3 1.2T Shine</v>
      </c>
      <c r="D44">
        <f t="shared" si="1"/>
        <v>374900</v>
      </c>
    </row>
    <row r="45" spans="2:4" ht="15" thickBot="1" x14ac:dyDescent="0.4">
      <c r="B45" s="1" t="s">
        <v>138</v>
      </c>
      <c r="C45" t="str">
        <f t="shared" si="0"/>
        <v>Mazda Mazda2 1.5 Individual</v>
      </c>
      <c r="D45">
        <f t="shared" si="1"/>
        <v>379500</v>
      </c>
    </row>
    <row r="46" spans="2:4" ht="15" thickBot="1" x14ac:dyDescent="0.4">
      <c r="B46" s="1" t="s">
        <v>139</v>
      </c>
      <c r="C46" t="str">
        <f t="shared" si="0"/>
        <v>Toyota Corolla Quest 1.8 Exclusive</v>
      </c>
      <c r="D46">
        <f t="shared" si="1"/>
        <v>379600</v>
      </c>
    </row>
    <row r="47" spans="2:4" ht="15" thickBot="1" x14ac:dyDescent="0.4">
      <c r="B47" s="1" t="s">
        <v>140</v>
      </c>
      <c r="C47" t="str">
        <f t="shared" si="0"/>
        <v>Volkswagen Polo Sedan 1.6 Life</v>
      </c>
      <c r="D47">
        <f t="shared" si="1"/>
        <v>381700</v>
      </c>
    </row>
    <row r="48" spans="2:4" ht="15" thickBot="1" x14ac:dyDescent="0.4">
      <c r="B48" s="1" t="s">
        <v>141</v>
      </c>
      <c r="C48" t="str">
        <f t="shared" si="0"/>
        <v>Kia Rio 1.4 Tec</v>
      </c>
      <c r="D48">
        <f t="shared" si="1"/>
        <v>383995</v>
      </c>
    </row>
    <row r="49" spans="2:4" ht="15" thickBot="1" x14ac:dyDescent="0.4">
      <c r="B49" s="1" t="s">
        <v>142</v>
      </c>
      <c r="C49" t="str">
        <f t="shared" si="0"/>
        <v>Honda Fit 1.5 Elegance</v>
      </c>
      <c r="D49">
        <f t="shared" si="1"/>
        <v>391000</v>
      </c>
    </row>
    <row r="50" spans="2:4" ht="15" thickBot="1" x14ac:dyDescent="0.4">
      <c r="B50" s="1" t="s">
        <v>143</v>
      </c>
      <c r="C50" t="str">
        <f t="shared" si="0"/>
        <v>Hyundai i20 1.0T Fluid</v>
      </c>
      <c r="D50">
        <f t="shared" si="1"/>
        <v>394900</v>
      </c>
    </row>
    <row r="51" spans="2:4" ht="15" thickBot="1" x14ac:dyDescent="0.4">
      <c r="B51" s="1" t="s">
        <v>144</v>
      </c>
      <c r="C51" t="str">
        <f t="shared" si="0"/>
        <v>Volkswagen Polo Hatch 1.0TSI 85kW Life</v>
      </c>
      <c r="D51">
        <f t="shared" si="1"/>
        <v>397500</v>
      </c>
    </row>
    <row r="52" spans="2:4" ht="15" thickBot="1" x14ac:dyDescent="0.4">
      <c r="B52" s="1" t="s">
        <v>145</v>
      </c>
      <c r="C52" t="str">
        <f t="shared" si="0"/>
        <v>Mazda Mazda2 1.5 Hazumi</v>
      </c>
      <c r="D52">
        <f t="shared" si="1"/>
        <v>407400</v>
      </c>
    </row>
    <row r="53" spans="2:4" ht="15" thickBot="1" x14ac:dyDescent="0.4">
      <c r="B53" s="1" t="s">
        <v>146</v>
      </c>
      <c r="C53" t="str">
        <f t="shared" si="0"/>
        <v>Honda Ballade 1.5 Elegance</v>
      </c>
      <c r="D53">
        <f t="shared" si="1"/>
        <v>407700</v>
      </c>
    </row>
    <row r="54" spans="2:4" ht="15" thickBot="1" x14ac:dyDescent="0.4">
      <c r="B54" s="1" t="s">
        <v>147</v>
      </c>
      <c r="C54" t="str">
        <f t="shared" si="0"/>
        <v>Suzuki Swift 1.4T Sport</v>
      </c>
      <c r="D54">
        <f t="shared" si="1"/>
        <v>415900</v>
      </c>
    </row>
    <row r="55" spans="2:4" ht="15" thickBot="1" x14ac:dyDescent="0.4">
      <c r="B55" s="1" t="s">
        <v>148</v>
      </c>
      <c r="C55" t="str">
        <f t="shared" si="0"/>
        <v>Peugeot 208 1.2T Allure</v>
      </c>
      <c r="D55">
        <f t="shared" si="1"/>
        <v>419900</v>
      </c>
    </row>
    <row r="56" spans="2:4" ht="15" thickBot="1" x14ac:dyDescent="0.4">
      <c r="B56" s="1" t="s">
        <v>149</v>
      </c>
      <c r="C56" t="str">
        <f t="shared" si="0"/>
        <v>Honda Fit 1.5 Executive</v>
      </c>
      <c r="D56">
        <f t="shared" si="1"/>
        <v>423500</v>
      </c>
    </row>
    <row r="57" spans="2:4" ht="15" thickBot="1" x14ac:dyDescent="0.4">
      <c r="B57" s="1" t="s">
        <v>150</v>
      </c>
      <c r="C57" t="str">
        <f t="shared" si="0"/>
        <v>Hyundai i20 1.0T N Line</v>
      </c>
      <c r="D57">
        <f t="shared" si="1"/>
        <v>428900</v>
      </c>
    </row>
    <row r="58" spans="2:4" ht="15" thickBot="1" x14ac:dyDescent="0.4">
      <c r="B58" s="1" t="s">
        <v>151</v>
      </c>
      <c r="C58" t="str">
        <f t="shared" si="0"/>
        <v>Opel Corsa 1.2T Elegance</v>
      </c>
      <c r="D58">
        <f t="shared" si="1"/>
        <v>436900</v>
      </c>
    </row>
    <row r="59" spans="2:4" ht="15" thickBot="1" x14ac:dyDescent="0.4">
      <c r="B59" s="1" t="s">
        <v>152</v>
      </c>
      <c r="C59" t="str">
        <f t="shared" si="0"/>
        <v>Honda Ballade 1.5 RS</v>
      </c>
      <c r="D59">
        <f t="shared" si="1"/>
        <v>440900</v>
      </c>
    </row>
    <row r="60" spans="2:4" ht="29.5" thickBot="1" x14ac:dyDescent="0.4">
      <c r="B60" s="1" t="s">
        <v>153</v>
      </c>
      <c r="C60" t="str">
        <f t="shared" si="0"/>
        <v>Volkswagen Polo hatch 1.0TSI 85kW R-Line</v>
      </c>
      <c r="D60">
        <f t="shared" si="1"/>
        <v>445500</v>
      </c>
    </row>
    <row r="61" spans="2:4" ht="15" thickBot="1" x14ac:dyDescent="0.4">
      <c r="B61" s="1" t="s">
        <v>154</v>
      </c>
      <c r="C61" t="str">
        <f t="shared" si="0"/>
        <v>Fiat Tipo Hatch 1.6 City Life</v>
      </c>
      <c r="D61">
        <f t="shared" si="1"/>
        <v>451900</v>
      </c>
    </row>
    <row r="62" spans="2:4" ht="15" thickBot="1" x14ac:dyDescent="0.4">
      <c r="B62" s="1" t="s">
        <v>155</v>
      </c>
      <c r="C62" t="str">
        <f t="shared" si="0"/>
        <v>Mazda Mazda3 Hatch 1.5 Dynamic</v>
      </c>
      <c r="D62">
        <f t="shared" si="1"/>
        <v>453300</v>
      </c>
    </row>
    <row r="63" spans="2:4" ht="15" thickBot="1" x14ac:dyDescent="0.4">
      <c r="B63" s="1" t="s">
        <v>156</v>
      </c>
      <c r="C63" t="str">
        <f t="shared" si="0"/>
        <v>MINI One Hatch 3-door</v>
      </c>
      <c r="D63">
        <f t="shared" si="1"/>
        <v>453707</v>
      </c>
    </row>
    <row r="64" spans="2:4" ht="15" thickBot="1" x14ac:dyDescent="0.4">
      <c r="B64" s="1" t="s">
        <v>157</v>
      </c>
      <c r="C64" t="str">
        <f t="shared" si="0"/>
        <v>Peugeot 208 1.2T GT</v>
      </c>
      <c r="D64">
        <f t="shared" si="1"/>
        <v>459900</v>
      </c>
    </row>
    <row r="65" spans="2:4" ht="15" thickBot="1" x14ac:dyDescent="0.4">
      <c r="B65" s="1" t="s">
        <v>158</v>
      </c>
      <c r="C65" t="str">
        <f t="shared" si="0"/>
        <v>MINI One Hatch 5-door</v>
      </c>
      <c r="D65">
        <f t="shared" si="1"/>
        <v>464975</v>
      </c>
    </row>
    <row r="66" spans="2:4" ht="15" thickBot="1" x14ac:dyDescent="0.4">
      <c r="B66" s="1" t="s">
        <v>159</v>
      </c>
      <c r="C66" t="str">
        <f t="shared" si="0"/>
        <v>Audi A1 Sportback 30TFSI</v>
      </c>
      <c r="D66">
        <f t="shared" si="1"/>
        <v>467300</v>
      </c>
    </row>
    <row r="67" spans="2:4" ht="15" thickBot="1" x14ac:dyDescent="0.4">
      <c r="B67" s="1" t="s">
        <v>160</v>
      </c>
      <c r="C67" t="str">
        <f t="shared" ref="C67:C130" si="2">TRIM(LEFT(B67, FIND("©",SUBSTITUTE(B67,"R","©",LEN(B67)-LEN(SUBSTITUTE(B67,"R",""))))-1))</f>
        <v>Fiat Tipo Sedan 1.6 City Life</v>
      </c>
      <c r="D67">
        <f t="shared" ref="D67:D130" si="3">--SUBSTITUTE(TRIM(RIGHT(B67, LEN(B67) - FIND("©",SUBSTITUTE(B67,"R","©",LEN(B67)-LEN(SUBSTITUTE(B67,"R","")))))), " ", "")</f>
        <v>469900</v>
      </c>
    </row>
    <row r="68" spans="2:4" ht="15" thickBot="1" x14ac:dyDescent="0.4">
      <c r="B68" s="1" t="s">
        <v>161</v>
      </c>
      <c r="C68" t="str">
        <f t="shared" si="2"/>
        <v>Audi A1 Sportback 30TFSI S line</v>
      </c>
      <c r="D68">
        <f t="shared" si="3"/>
        <v>489800</v>
      </c>
    </row>
    <row r="69" spans="2:4" ht="15" thickBot="1" x14ac:dyDescent="0.4">
      <c r="B69" s="1" t="s">
        <v>162</v>
      </c>
      <c r="C69" t="str">
        <f t="shared" si="2"/>
        <v>Fiat Tipo Hatch 1.6 Life</v>
      </c>
      <c r="D69">
        <f t="shared" si="3"/>
        <v>489900</v>
      </c>
    </row>
    <row r="70" spans="2:4" ht="15" thickBot="1" x14ac:dyDescent="0.4">
      <c r="B70" s="1" t="s">
        <v>163</v>
      </c>
      <c r="C70" t="str">
        <f t="shared" si="2"/>
        <v>Toyota Corolla Hatch 1.8 Hybrid XS</v>
      </c>
      <c r="D70">
        <f t="shared" si="3"/>
        <v>500700</v>
      </c>
    </row>
    <row r="71" spans="2:4" ht="15" thickBot="1" x14ac:dyDescent="0.4">
      <c r="B71" s="1" t="s">
        <v>164</v>
      </c>
      <c r="C71" t="str">
        <f t="shared" si="2"/>
        <v>Mazda Mazda3 Hatch 1.5 Individual</v>
      </c>
      <c r="D71">
        <f t="shared" si="3"/>
        <v>508800</v>
      </c>
    </row>
    <row r="72" spans="2:4" ht="15" thickBot="1" x14ac:dyDescent="0.4">
      <c r="B72" s="1" t="s">
        <v>165</v>
      </c>
      <c r="C72" t="str">
        <f t="shared" si="2"/>
        <v>Honda Fit Hybrid</v>
      </c>
      <c r="D72">
        <f t="shared" si="3"/>
        <v>509600</v>
      </c>
    </row>
    <row r="73" spans="2:4" ht="15" thickBot="1" x14ac:dyDescent="0.4">
      <c r="B73" s="1" t="s">
        <v>166</v>
      </c>
      <c r="C73" t="str">
        <f t="shared" si="2"/>
        <v>Toyota Corolla 1.8 Hybrid XS</v>
      </c>
      <c r="D73">
        <f t="shared" si="3"/>
        <v>512700</v>
      </c>
    </row>
    <row r="74" spans="2:4" ht="15" thickBot="1" x14ac:dyDescent="0.4">
      <c r="B74" s="1" t="s">
        <v>167</v>
      </c>
      <c r="C74" t="str">
        <f t="shared" si="2"/>
        <v>Volkswagen Polo GTI</v>
      </c>
      <c r="D74">
        <f t="shared" si="3"/>
        <v>522500</v>
      </c>
    </row>
    <row r="75" spans="2:4" ht="15" thickBot="1" x14ac:dyDescent="0.4">
      <c r="B75" s="1" t="s">
        <v>168</v>
      </c>
      <c r="C75" t="str">
        <f t="shared" si="2"/>
        <v>Toyota Corolla 2.0 XR</v>
      </c>
      <c r="D75">
        <f t="shared" si="3"/>
        <v>527400</v>
      </c>
    </row>
    <row r="76" spans="2:4" ht="15" thickBot="1" x14ac:dyDescent="0.4">
      <c r="B76" s="1" t="s">
        <v>169</v>
      </c>
      <c r="C76" t="str">
        <f t="shared" si="2"/>
        <v>Audi A1 Sportback 35TFSI</v>
      </c>
      <c r="D76">
        <f t="shared" si="3"/>
        <v>527900</v>
      </c>
    </row>
    <row r="77" spans="2:4" ht="15" thickBot="1" x14ac:dyDescent="0.4">
      <c r="B77" s="1" t="s">
        <v>170</v>
      </c>
      <c r="C77" t="str">
        <f t="shared" si="2"/>
        <v>Toyota Corolla Hatch 2.0 XR</v>
      </c>
      <c r="D77">
        <f t="shared" si="3"/>
        <v>529000</v>
      </c>
    </row>
    <row r="78" spans="2:4" ht="15" thickBot="1" x14ac:dyDescent="0.4">
      <c r="B78" s="1" t="s">
        <v>171</v>
      </c>
      <c r="C78" t="str">
        <f t="shared" si="2"/>
        <v>Toyota Corolla 1.8 Hybrid XR</v>
      </c>
      <c r="D78">
        <f t="shared" si="3"/>
        <v>532200</v>
      </c>
    </row>
    <row r="79" spans="2:4" ht="15" thickBot="1" x14ac:dyDescent="0.4">
      <c r="B79" s="1" t="s">
        <v>172</v>
      </c>
      <c r="C79" t="str">
        <f t="shared" si="2"/>
        <v>MINI Cooper Hatch 3-door</v>
      </c>
      <c r="D79">
        <f t="shared" si="3"/>
        <v>534873</v>
      </c>
    </row>
    <row r="80" spans="2:4" ht="15" thickBot="1" x14ac:dyDescent="0.4">
      <c r="B80" s="1" t="s">
        <v>173</v>
      </c>
      <c r="C80" t="str">
        <f t="shared" si="2"/>
        <v>Toyota Corolla Hatch 1.8 Hybrid XR</v>
      </c>
      <c r="D80">
        <f t="shared" si="3"/>
        <v>539000</v>
      </c>
    </row>
    <row r="81" spans="2:4" ht="15" thickBot="1" x14ac:dyDescent="0.4">
      <c r="B81" s="1" t="s">
        <v>174</v>
      </c>
      <c r="C81" t="str">
        <f t="shared" si="2"/>
        <v>MINI Cooper Hatch 5-door</v>
      </c>
      <c r="D81">
        <f t="shared" si="3"/>
        <v>546220</v>
      </c>
    </row>
    <row r="82" spans="2:4" ht="15" thickBot="1" x14ac:dyDescent="0.4">
      <c r="B82" s="1" t="s">
        <v>175</v>
      </c>
      <c r="C82" t="str">
        <f t="shared" si="2"/>
        <v>Audi A1 Sportback 35TFSI S line</v>
      </c>
      <c r="D82">
        <f t="shared" si="3"/>
        <v>550400</v>
      </c>
    </row>
    <row r="83" spans="2:4" ht="15" thickBot="1" x14ac:dyDescent="0.4">
      <c r="B83" s="1" t="s">
        <v>176</v>
      </c>
      <c r="C83" t="str">
        <f t="shared" si="2"/>
        <v>Mazda Mazda3 Hatch 2.0 Astina</v>
      </c>
      <c r="D83">
        <f t="shared" si="3"/>
        <v>554500</v>
      </c>
    </row>
    <row r="84" spans="2:4" ht="15" thickBot="1" x14ac:dyDescent="0.4">
      <c r="B84" s="1" t="s">
        <v>177</v>
      </c>
      <c r="C84" t="str">
        <f t="shared" si="2"/>
        <v>Audi A1 Sportback 40TFSI S line</v>
      </c>
      <c r="D84">
        <f t="shared" si="3"/>
        <v>576200</v>
      </c>
    </row>
    <row r="85" spans="2:4" ht="15" thickBot="1" x14ac:dyDescent="0.4">
      <c r="B85" s="1" t="s">
        <v>178</v>
      </c>
      <c r="C85" t="str">
        <f t="shared" si="2"/>
        <v>MINI Cooper S Hatch 3-door</v>
      </c>
      <c r="D85">
        <f t="shared" si="3"/>
        <v>615162</v>
      </c>
    </row>
    <row r="86" spans="2:4" ht="15" thickBot="1" x14ac:dyDescent="0.4">
      <c r="B86" s="1" t="s">
        <v>179</v>
      </c>
      <c r="C86" t="str">
        <f t="shared" si="2"/>
        <v>Audi A3 Sportback 35TFSI</v>
      </c>
      <c r="D86">
        <f t="shared" si="3"/>
        <v>622800</v>
      </c>
    </row>
    <row r="87" spans="2:4" ht="29.5" thickBot="1" x14ac:dyDescent="0.4">
      <c r="B87" s="1" t="s">
        <v>180</v>
      </c>
      <c r="C87" t="str">
        <f t="shared" si="2"/>
        <v>MINI Cooper S Hatch 3-door Resolute Edition</v>
      </c>
      <c r="D87">
        <f t="shared" si="3"/>
        <v>624662</v>
      </c>
    </row>
    <row r="88" spans="2:4" ht="15" thickBot="1" x14ac:dyDescent="0.4">
      <c r="B88" s="1" t="s">
        <v>181</v>
      </c>
      <c r="C88" t="str">
        <f t="shared" si="2"/>
        <v>MINI Cooper S Hatch 5-door</v>
      </c>
      <c r="D88">
        <f t="shared" si="3"/>
        <v>626053</v>
      </c>
    </row>
    <row r="89" spans="2:4" ht="29.5" thickBot="1" x14ac:dyDescent="0.4">
      <c r="B89" s="1" t="s">
        <v>182</v>
      </c>
      <c r="C89" t="str">
        <f t="shared" si="2"/>
        <v>MINI Cooper S Hatch 5-door Resolute Edition</v>
      </c>
      <c r="D89">
        <f t="shared" si="3"/>
        <v>635553</v>
      </c>
    </row>
    <row r="90" spans="2:4" ht="15" thickBot="1" x14ac:dyDescent="0.4">
      <c r="B90" s="1" t="s">
        <v>183</v>
      </c>
      <c r="C90" t="str">
        <f t="shared" si="2"/>
        <v>Audi A3 Sedan 35TFSI</v>
      </c>
      <c r="D90">
        <f t="shared" si="3"/>
        <v>637800</v>
      </c>
    </row>
    <row r="91" spans="2:4" ht="15" thickBot="1" x14ac:dyDescent="0.4">
      <c r="B91" s="1" t="s">
        <v>184</v>
      </c>
      <c r="C91" t="str">
        <f t="shared" si="2"/>
        <v>BMW 118i</v>
      </c>
      <c r="D91">
        <f t="shared" si="3"/>
        <v>641072</v>
      </c>
    </row>
    <row r="92" spans="2:4" ht="15" thickBot="1" x14ac:dyDescent="0.4">
      <c r="B92" s="1" t="s">
        <v>185</v>
      </c>
      <c r="C92" t="str">
        <f t="shared" si="2"/>
        <v>MINI Cooper Convertible</v>
      </c>
      <c r="D92">
        <f t="shared" si="3"/>
        <v>641661</v>
      </c>
    </row>
    <row r="93" spans="2:4" ht="15" thickBot="1" x14ac:dyDescent="0.4">
      <c r="B93" s="1" t="s">
        <v>186</v>
      </c>
      <c r="C93" t="str">
        <f t="shared" si="2"/>
        <v>Audi A3 Sportback 35TFSI S line</v>
      </c>
      <c r="D93">
        <f t="shared" si="3"/>
        <v>662800</v>
      </c>
    </row>
    <row r="94" spans="2:4" ht="15" thickBot="1" x14ac:dyDescent="0.4">
      <c r="B94" s="1" t="s">
        <v>187</v>
      </c>
      <c r="C94" t="str">
        <f t="shared" si="2"/>
        <v>BMW 118i M Sport</v>
      </c>
      <c r="D94">
        <f t="shared" si="3"/>
        <v>676772</v>
      </c>
    </row>
    <row r="95" spans="2:4" ht="15" thickBot="1" x14ac:dyDescent="0.4">
      <c r="B95" s="1" t="s">
        <v>188</v>
      </c>
      <c r="C95" t="str">
        <f t="shared" si="2"/>
        <v>Audi A3 Sedan 35TFSI S line</v>
      </c>
      <c r="D95">
        <f t="shared" si="3"/>
        <v>677800</v>
      </c>
    </row>
    <row r="96" spans="2:4" ht="15" thickBot="1" x14ac:dyDescent="0.4">
      <c r="B96" s="1" t="s">
        <v>189</v>
      </c>
      <c r="C96" t="str">
        <f t="shared" si="2"/>
        <v>BMW 118d</v>
      </c>
      <c r="D96">
        <f t="shared" si="3"/>
        <v>679250</v>
      </c>
    </row>
    <row r="97" spans="2:4" ht="15" thickBot="1" x14ac:dyDescent="0.4">
      <c r="B97" s="1" t="s">
        <v>190</v>
      </c>
      <c r="C97" t="str">
        <f t="shared" si="2"/>
        <v>Honda Civic Sedan 1.5T RS</v>
      </c>
      <c r="D97">
        <f t="shared" si="3"/>
        <v>689100</v>
      </c>
    </row>
    <row r="98" spans="2:4" ht="15" thickBot="1" x14ac:dyDescent="0.4">
      <c r="B98" s="1" t="s">
        <v>191</v>
      </c>
      <c r="C98" t="str">
        <f t="shared" si="2"/>
        <v>BMW 218i Gran Coupé</v>
      </c>
      <c r="D98">
        <f t="shared" si="3"/>
        <v>691072</v>
      </c>
    </row>
    <row r="99" spans="2:4" ht="15" thickBot="1" x14ac:dyDescent="0.4">
      <c r="B99" s="1" t="s">
        <v>192</v>
      </c>
      <c r="C99" t="str">
        <f t="shared" si="2"/>
        <v>Audi A3 Sportback 40TFSI S line</v>
      </c>
      <c r="D99">
        <f t="shared" si="3"/>
        <v>710600</v>
      </c>
    </row>
    <row r="100" spans="2:4" ht="15" thickBot="1" x14ac:dyDescent="0.4">
      <c r="B100" s="1" t="s">
        <v>193</v>
      </c>
      <c r="C100" t="str">
        <f t="shared" si="2"/>
        <v>BMW 118d M Sport</v>
      </c>
      <c r="D100">
        <f t="shared" si="3"/>
        <v>714950</v>
      </c>
    </row>
    <row r="101" spans="2:4" ht="15" thickBot="1" x14ac:dyDescent="0.4">
      <c r="B101" s="1" t="s">
        <v>194</v>
      </c>
      <c r="C101" t="str">
        <f t="shared" si="2"/>
        <v>MINI John Cooper Works Hatch 3-door</v>
      </c>
      <c r="D101">
        <f t="shared" si="3"/>
        <v>719464</v>
      </c>
    </row>
    <row r="102" spans="2:4" ht="15" thickBot="1" x14ac:dyDescent="0.4">
      <c r="B102" s="1" t="s">
        <v>195</v>
      </c>
      <c r="C102" t="str">
        <f t="shared" si="2"/>
        <v>Audi A3 Sedan 40TFSI S line</v>
      </c>
      <c r="D102">
        <f t="shared" si="3"/>
        <v>725600</v>
      </c>
    </row>
    <row r="103" spans="2:4" ht="15" thickBot="1" x14ac:dyDescent="0.4">
      <c r="B103" s="1" t="s">
        <v>196</v>
      </c>
      <c r="C103" t="str">
        <f t="shared" si="2"/>
        <v>BMW 218i Gran Coupé M Sport</v>
      </c>
      <c r="D103">
        <f t="shared" si="3"/>
        <v>726772</v>
      </c>
    </row>
    <row r="104" spans="2:4" ht="15" thickBot="1" x14ac:dyDescent="0.4">
      <c r="B104" s="1" t="s">
        <v>197</v>
      </c>
      <c r="C104" t="str">
        <f t="shared" si="2"/>
        <v>Volkswagen Golf GTI Jacara Edition</v>
      </c>
      <c r="D104">
        <f t="shared" si="3"/>
        <v>727500</v>
      </c>
    </row>
    <row r="105" spans="2:4" ht="15" thickBot="1" x14ac:dyDescent="0.4">
      <c r="B105" s="1" t="s">
        <v>198</v>
      </c>
      <c r="C105" t="str">
        <f t="shared" si="2"/>
        <v>Mercedes-Benz A200 Hatch Progressive</v>
      </c>
      <c r="D105">
        <f t="shared" si="3"/>
        <v>729554</v>
      </c>
    </row>
    <row r="106" spans="2:4" ht="15" thickBot="1" x14ac:dyDescent="0.4">
      <c r="B106" s="1" t="s">
        <v>199</v>
      </c>
      <c r="C106" t="str">
        <f t="shared" si="2"/>
        <v>BMW 218d Gran Coupé</v>
      </c>
      <c r="D106">
        <f t="shared" si="3"/>
        <v>729858</v>
      </c>
    </row>
    <row r="107" spans="2:4" ht="15" thickBot="1" x14ac:dyDescent="0.4">
      <c r="B107" s="1" t="s">
        <v>200</v>
      </c>
      <c r="C107" t="str">
        <f t="shared" si="2"/>
        <v>MINI Cooper S Convertible</v>
      </c>
      <c r="D107">
        <f t="shared" si="3"/>
        <v>739010</v>
      </c>
    </row>
    <row r="108" spans="2:4" ht="15" thickBot="1" x14ac:dyDescent="0.4">
      <c r="B108" s="1" t="s">
        <v>201</v>
      </c>
      <c r="C108" t="str">
        <f t="shared" si="2"/>
        <v>Audi A4 35TFSI</v>
      </c>
      <c r="D108">
        <f t="shared" si="3"/>
        <v>740700</v>
      </c>
    </row>
    <row r="109" spans="2:4" ht="15" thickBot="1" x14ac:dyDescent="0.4">
      <c r="B109" s="1" t="s">
        <v>202</v>
      </c>
      <c r="C109" t="str">
        <f t="shared" si="2"/>
        <v>MINI Cooper SE Hatch 3-door</v>
      </c>
      <c r="D109">
        <f t="shared" si="3"/>
        <v>742102</v>
      </c>
    </row>
    <row r="110" spans="2:4" ht="15" thickBot="1" x14ac:dyDescent="0.4">
      <c r="B110" s="1" t="s">
        <v>203</v>
      </c>
      <c r="C110" t="str">
        <f t="shared" si="2"/>
        <v>BMW 220i Gran Coupé</v>
      </c>
      <c r="D110">
        <f t="shared" si="3"/>
        <v>742590</v>
      </c>
    </row>
    <row r="111" spans="2:4" ht="15" thickBot="1" x14ac:dyDescent="0.4">
      <c r="B111" s="1" t="s">
        <v>204</v>
      </c>
      <c r="C111" t="str">
        <f t="shared" si="2"/>
        <v>Volkswagen Golf GTI</v>
      </c>
      <c r="D111">
        <f t="shared" si="3"/>
        <v>744200</v>
      </c>
    </row>
    <row r="112" spans="2:4" ht="29.5" thickBot="1" x14ac:dyDescent="0.4">
      <c r="B112" s="1" t="s">
        <v>205</v>
      </c>
      <c r="C112" t="str">
        <f t="shared" si="2"/>
        <v>MINI Cooper SE Hatch 3-door Resolute Edition</v>
      </c>
      <c r="D112">
        <f t="shared" si="3"/>
        <v>745402</v>
      </c>
    </row>
    <row r="113" spans="2:4" ht="15" thickBot="1" x14ac:dyDescent="0.4">
      <c r="B113" s="1" t="s">
        <v>206</v>
      </c>
      <c r="C113" t="str">
        <f t="shared" si="2"/>
        <v>Toyota GR86</v>
      </c>
      <c r="D113">
        <f t="shared" si="3"/>
        <v>748400</v>
      </c>
    </row>
    <row r="114" spans="2:4" ht="29.5" thickBot="1" x14ac:dyDescent="0.4">
      <c r="B114" s="1" t="s">
        <v>207</v>
      </c>
      <c r="C114" t="str">
        <f t="shared" si="2"/>
        <v>MINI Cooper S Convertible Resolute Edition</v>
      </c>
      <c r="D114">
        <f t="shared" si="3"/>
        <v>748510</v>
      </c>
    </row>
    <row r="115" spans="2:4" ht="15" thickBot="1" x14ac:dyDescent="0.4">
      <c r="B115" s="1" t="s">
        <v>208</v>
      </c>
      <c r="C115" t="str">
        <f t="shared" si="2"/>
        <v>Mercedes-Benz A200 Hatch AMG Line</v>
      </c>
      <c r="D115">
        <f t="shared" si="3"/>
        <v>758554</v>
      </c>
    </row>
    <row r="116" spans="2:4" ht="15" thickBot="1" x14ac:dyDescent="0.4">
      <c r="B116" s="1" t="s">
        <v>209</v>
      </c>
      <c r="C116" t="str">
        <f t="shared" si="2"/>
        <v>BMW 128ti</v>
      </c>
      <c r="D116">
        <f t="shared" si="3"/>
        <v>764260</v>
      </c>
    </row>
    <row r="117" spans="2:4" ht="15" thickBot="1" x14ac:dyDescent="0.4">
      <c r="B117" s="1" t="s">
        <v>210</v>
      </c>
      <c r="C117" t="str">
        <f t="shared" si="2"/>
        <v>BMW 218d Gran Coupé M Sport</v>
      </c>
      <c r="D117">
        <f t="shared" si="3"/>
        <v>765558</v>
      </c>
    </row>
    <row r="118" spans="2:4" ht="15" thickBot="1" x14ac:dyDescent="0.4">
      <c r="B118" s="1" t="s">
        <v>211</v>
      </c>
      <c r="C118" t="str">
        <f t="shared" si="2"/>
        <v>BMW 318i</v>
      </c>
      <c r="D118">
        <f t="shared" si="3"/>
        <v>767894</v>
      </c>
    </row>
    <row r="119" spans="2:4" ht="15" thickBot="1" x14ac:dyDescent="0.4">
      <c r="B119" s="1" t="s">
        <v>212</v>
      </c>
      <c r="C119" t="str">
        <f t="shared" si="2"/>
        <v>Lexus ES 250 EX</v>
      </c>
      <c r="D119">
        <f t="shared" si="3"/>
        <v>771400</v>
      </c>
    </row>
    <row r="120" spans="2:4" ht="15" thickBot="1" x14ac:dyDescent="0.4">
      <c r="B120" s="1" t="s">
        <v>213</v>
      </c>
      <c r="C120" t="str">
        <f t="shared" si="2"/>
        <v>BMW 220i Gran Coupé M Sport</v>
      </c>
      <c r="D120">
        <f t="shared" si="3"/>
        <v>778290</v>
      </c>
    </row>
    <row r="121" spans="2:4" ht="15" thickBot="1" x14ac:dyDescent="0.4">
      <c r="B121" s="1" t="s">
        <v>214</v>
      </c>
      <c r="C121" t="str">
        <f t="shared" si="2"/>
        <v>Hyundai i30 N</v>
      </c>
      <c r="D121">
        <f t="shared" si="3"/>
        <v>779900</v>
      </c>
    </row>
    <row r="122" spans="2:4" ht="15" thickBot="1" x14ac:dyDescent="0.4">
      <c r="B122" s="1" t="s">
        <v>215</v>
      </c>
      <c r="C122" t="str">
        <f t="shared" si="2"/>
        <v>Audi A4 35TDI</v>
      </c>
      <c r="D122">
        <f t="shared" si="3"/>
        <v>784500</v>
      </c>
    </row>
    <row r="123" spans="2:4" ht="15" thickBot="1" x14ac:dyDescent="0.4">
      <c r="B123" s="1" t="s">
        <v>216</v>
      </c>
      <c r="C123" t="str">
        <f t="shared" si="2"/>
        <v>Mercedes-Benz A200 Sedan Progressive</v>
      </c>
      <c r="D123">
        <f t="shared" si="3"/>
        <v>784554</v>
      </c>
    </row>
    <row r="124" spans="2:4" ht="15" thickBot="1" x14ac:dyDescent="0.4">
      <c r="B124" s="1" t="s">
        <v>217</v>
      </c>
      <c r="C124" t="str">
        <f t="shared" si="2"/>
        <v>Audi A4 40TFSI</v>
      </c>
      <c r="D124">
        <f t="shared" si="3"/>
        <v>794800</v>
      </c>
    </row>
    <row r="125" spans="2:4" ht="15" thickBot="1" x14ac:dyDescent="0.4">
      <c r="B125" s="1" t="s">
        <v>218</v>
      </c>
      <c r="C125" t="str">
        <f t="shared" si="2"/>
        <v>Mercedes-Benz A200 Sedan AMG Line</v>
      </c>
      <c r="D125">
        <f t="shared" si="3"/>
        <v>813554</v>
      </c>
    </row>
    <row r="126" spans="2:4" ht="15" thickBot="1" x14ac:dyDescent="0.4">
      <c r="B126" s="1" t="s">
        <v>219</v>
      </c>
      <c r="C126" t="str">
        <f t="shared" si="2"/>
        <v>BMW 318i M Sport</v>
      </c>
      <c r="D126">
        <f t="shared" si="3"/>
        <v>817894</v>
      </c>
    </row>
    <row r="127" spans="2:4" ht="15" thickBot="1" x14ac:dyDescent="0.4">
      <c r="B127" s="1" t="s">
        <v>220</v>
      </c>
      <c r="C127" t="str">
        <f t="shared" si="2"/>
        <v>Audi A4 35TDI S line</v>
      </c>
      <c r="D127">
        <f t="shared" si="3"/>
        <v>829500</v>
      </c>
    </row>
    <row r="128" spans="2:4" ht="15" thickBot="1" x14ac:dyDescent="0.4">
      <c r="B128" s="1" t="s">
        <v>221</v>
      </c>
      <c r="C128" t="str">
        <f t="shared" si="2"/>
        <v>Lexus ES 300h EX</v>
      </c>
      <c r="D128">
        <f t="shared" si="3"/>
        <v>829900</v>
      </c>
    </row>
    <row r="129" spans="2:4" ht="15" thickBot="1" x14ac:dyDescent="0.4">
      <c r="B129" s="1" t="s">
        <v>222</v>
      </c>
      <c r="C129" t="str">
        <f t="shared" si="2"/>
        <v>BMW 320i</v>
      </c>
      <c r="D129">
        <f t="shared" si="3"/>
        <v>832894</v>
      </c>
    </row>
    <row r="130" spans="2:4" ht="15" thickBot="1" x14ac:dyDescent="0.4">
      <c r="B130" s="1" t="s">
        <v>223</v>
      </c>
      <c r="C130" t="str">
        <f t="shared" si="2"/>
        <v>Audi A5 Coupé 40TFSI</v>
      </c>
      <c r="D130">
        <f t="shared" si="3"/>
        <v>834300</v>
      </c>
    </row>
    <row r="131" spans="2:4" ht="15" thickBot="1" x14ac:dyDescent="0.4">
      <c r="B131" s="1" t="s">
        <v>224</v>
      </c>
      <c r="C131" t="str">
        <f t="shared" ref="C131:C194" si="4">TRIM(LEFT(B131, FIND("©",SUBSTITUTE(B131,"R","©",LEN(B131)-LEN(SUBSTITUTE(B131,"R",""))))-1))</f>
        <v>Audi A4 40TFSI S line</v>
      </c>
      <c r="D131">
        <f t="shared" ref="D131:D194" si="5">--SUBSTITUTE(TRIM(RIGHT(B131, LEN(B131) - FIND("©",SUBSTITUTE(B131,"R","©",LEN(B131)-LEN(SUBSTITUTE(B131,"R","")))))), " ", "")</f>
        <v>839800</v>
      </c>
    </row>
    <row r="132" spans="2:4" ht="15" thickBot="1" x14ac:dyDescent="0.4">
      <c r="B132" s="1" t="s">
        <v>225</v>
      </c>
      <c r="C132" t="str">
        <f t="shared" si="4"/>
        <v>BMW 220i Coupé M Sport</v>
      </c>
      <c r="D132">
        <f t="shared" si="5"/>
        <v>842590</v>
      </c>
    </row>
    <row r="133" spans="2:4" ht="15" thickBot="1" x14ac:dyDescent="0.4">
      <c r="B133" s="1" t="s">
        <v>226</v>
      </c>
      <c r="C133" t="str">
        <f t="shared" si="4"/>
        <v>Audi A5 Sportback 40TFSI</v>
      </c>
      <c r="D133">
        <f t="shared" si="5"/>
        <v>849300</v>
      </c>
    </row>
    <row r="134" spans="2:4" ht="15" thickBot="1" x14ac:dyDescent="0.4">
      <c r="B134" s="1" t="s">
        <v>227</v>
      </c>
      <c r="C134" t="str">
        <f t="shared" si="4"/>
        <v>BMW 420i Coupé</v>
      </c>
      <c r="D134">
        <f t="shared" si="5"/>
        <v>852742</v>
      </c>
    </row>
    <row r="135" spans="2:4" ht="15" thickBot="1" x14ac:dyDescent="0.4">
      <c r="B135" s="1" t="s">
        <v>228</v>
      </c>
      <c r="C135" t="str">
        <f t="shared" si="4"/>
        <v>Mercedes-Benz CLA200 Progressive</v>
      </c>
      <c r="D135">
        <f t="shared" si="5"/>
        <v>856463</v>
      </c>
    </row>
    <row r="136" spans="2:4" ht="15" thickBot="1" x14ac:dyDescent="0.4">
      <c r="B136" s="1" t="s">
        <v>229</v>
      </c>
      <c r="C136" t="str">
        <f t="shared" si="4"/>
        <v>Subaru WRX 2.4T tS ES</v>
      </c>
      <c r="D136">
        <f t="shared" si="5"/>
        <v>877000</v>
      </c>
    </row>
    <row r="137" spans="2:4" ht="15" thickBot="1" x14ac:dyDescent="0.4">
      <c r="B137" s="1" t="s">
        <v>230</v>
      </c>
      <c r="C137" t="str">
        <f t="shared" si="4"/>
        <v>Audi A5 Coupé 40TFSI S line</v>
      </c>
      <c r="D137">
        <f t="shared" si="5"/>
        <v>879300</v>
      </c>
    </row>
    <row r="138" spans="2:4" ht="15" thickBot="1" x14ac:dyDescent="0.4">
      <c r="B138" s="1" t="s">
        <v>231</v>
      </c>
      <c r="C138" t="str">
        <f t="shared" si="4"/>
        <v>BMW 320d</v>
      </c>
      <c r="D138">
        <f t="shared" si="5"/>
        <v>880768</v>
      </c>
    </row>
    <row r="139" spans="2:4" ht="15" thickBot="1" x14ac:dyDescent="0.4">
      <c r="B139" s="1" t="s">
        <v>232</v>
      </c>
      <c r="C139" t="str">
        <f t="shared" si="4"/>
        <v>BMW 320i M Sport</v>
      </c>
      <c r="D139">
        <f t="shared" si="5"/>
        <v>882894</v>
      </c>
    </row>
    <row r="140" spans="2:4" ht="15" thickBot="1" x14ac:dyDescent="0.4">
      <c r="B140" s="1" t="s">
        <v>233</v>
      </c>
      <c r="C140" t="str">
        <f t="shared" si="4"/>
        <v>Audi S3 Sportback quattro</v>
      </c>
      <c r="D140">
        <f t="shared" si="5"/>
        <v>883100</v>
      </c>
    </row>
    <row r="141" spans="2:4" ht="15" thickBot="1" x14ac:dyDescent="0.4">
      <c r="B141" s="1" t="s">
        <v>234</v>
      </c>
      <c r="C141" t="str">
        <f t="shared" si="4"/>
        <v>Mercedes-Benz CLA200 AMG Line</v>
      </c>
      <c r="D141">
        <f t="shared" si="5"/>
        <v>885463</v>
      </c>
    </row>
    <row r="142" spans="2:4" ht="15" thickBot="1" x14ac:dyDescent="0.4">
      <c r="B142" s="1" t="s">
        <v>235</v>
      </c>
      <c r="C142" t="str">
        <f t="shared" si="4"/>
        <v>BMW 220d Coupé M Sport</v>
      </c>
      <c r="D142">
        <f t="shared" si="5"/>
        <v>889706</v>
      </c>
    </row>
    <row r="143" spans="2:4" ht="15" thickBot="1" x14ac:dyDescent="0.4">
      <c r="B143" s="1" t="s">
        <v>236</v>
      </c>
      <c r="C143" t="str">
        <f t="shared" si="4"/>
        <v>Audi TTS Coupé quattro</v>
      </c>
      <c r="D143">
        <f t="shared" si="5"/>
        <v>894100</v>
      </c>
    </row>
    <row r="144" spans="2:4" ht="15" thickBot="1" x14ac:dyDescent="0.4">
      <c r="B144" s="1" t="s">
        <v>237</v>
      </c>
      <c r="C144" t="str">
        <f t="shared" si="4"/>
        <v>Audi A5 Sportback 40TFSI S line</v>
      </c>
      <c r="D144">
        <f t="shared" si="5"/>
        <v>894300</v>
      </c>
    </row>
    <row r="145" spans="2:4" ht="15" thickBot="1" x14ac:dyDescent="0.4">
      <c r="B145" s="1" t="s">
        <v>238</v>
      </c>
      <c r="C145" t="str">
        <f t="shared" si="4"/>
        <v>Audi S3 Sedan quattro</v>
      </c>
      <c r="D145">
        <f t="shared" si="5"/>
        <v>898100</v>
      </c>
    </row>
    <row r="146" spans="2:4" ht="15" thickBot="1" x14ac:dyDescent="0.4">
      <c r="B146" s="1" t="s">
        <v>239</v>
      </c>
      <c r="C146" t="str">
        <f t="shared" si="4"/>
        <v>Mercedes-Benz CLA220d Progressive</v>
      </c>
      <c r="D146">
        <f t="shared" si="5"/>
        <v>899749</v>
      </c>
    </row>
    <row r="147" spans="2:4" ht="15" thickBot="1" x14ac:dyDescent="0.4">
      <c r="B147" s="1" t="s">
        <v>240</v>
      </c>
      <c r="C147" t="str">
        <f t="shared" si="4"/>
        <v>BMW 420d Coupé</v>
      </c>
      <c r="D147">
        <f t="shared" si="5"/>
        <v>899858</v>
      </c>
    </row>
    <row r="148" spans="2:4" ht="15" thickBot="1" x14ac:dyDescent="0.4">
      <c r="B148" s="1" t="s">
        <v>241</v>
      </c>
      <c r="C148" t="str">
        <f t="shared" si="4"/>
        <v>Renault Mégane RS 300 Trophy</v>
      </c>
      <c r="D148">
        <f t="shared" si="5"/>
        <v>899999</v>
      </c>
    </row>
    <row r="149" spans="2:4" ht="15" thickBot="1" x14ac:dyDescent="0.4">
      <c r="B149" s="1" t="s">
        <v>242</v>
      </c>
      <c r="C149" t="str">
        <f t="shared" si="4"/>
        <v>BMW 420i Coupé M Sport</v>
      </c>
      <c r="D149">
        <f t="shared" si="5"/>
        <v>904842</v>
      </c>
    </row>
    <row r="150" spans="2:4" ht="15" thickBot="1" x14ac:dyDescent="0.4">
      <c r="B150" s="1" t="s">
        <v>243</v>
      </c>
      <c r="C150" t="str">
        <f t="shared" si="4"/>
        <v>Mercedes-Benz C200 Coupé AMG Line</v>
      </c>
      <c r="D150">
        <f t="shared" si="5"/>
        <v>912563</v>
      </c>
    </row>
    <row r="151" spans="2:4" ht="15" thickBot="1" x14ac:dyDescent="0.4">
      <c r="B151" s="1" t="s">
        <v>244</v>
      </c>
      <c r="C151" t="str">
        <f t="shared" si="4"/>
        <v>Volvo S90 B5 Essential</v>
      </c>
      <c r="D151">
        <f t="shared" si="5"/>
        <v>922600</v>
      </c>
    </row>
    <row r="152" spans="2:4" ht="15" thickBot="1" x14ac:dyDescent="0.4">
      <c r="B152" s="1" t="s">
        <v>245</v>
      </c>
      <c r="C152" t="str">
        <f t="shared" si="4"/>
        <v>Audi A5 Coupé 40TDI quattro S line</v>
      </c>
      <c r="D152">
        <f t="shared" si="5"/>
        <v>928300</v>
      </c>
    </row>
    <row r="153" spans="2:4" ht="15" thickBot="1" x14ac:dyDescent="0.4">
      <c r="B153" s="1" t="s">
        <v>246</v>
      </c>
      <c r="C153" t="str">
        <f t="shared" si="4"/>
        <v>Mercedes-Benz CLA220d AMG Line</v>
      </c>
      <c r="D153">
        <f t="shared" si="5"/>
        <v>928749</v>
      </c>
    </row>
    <row r="154" spans="2:4" ht="15" thickBot="1" x14ac:dyDescent="0.4">
      <c r="B154" s="1" t="s">
        <v>247</v>
      </c>
      <c r="C154" t="str">
        <f t="shared" si="4"/>
        <v>BMW M135i xDrive</v>
      </c>
      <c r="D154">
        <f t="shared" si="5"/>
        <v>930537</v>
      </c>
    </row>
    <row r="155" spans="2:4" ht="15" thickBot="1" x14ac:dyDescent="0.4">
      <c r="B155" s="1" t="s">
        <v>248</v>
      </c>
      <c r="C155" t="str">
        <f t="shared" si="4"/>
        <v>BMW 320d M Sport</v>
      </c>
      <c r="D155">
        <f t="shared" si="5"/>
        <v>930768</v>
      </c>
    </row>
    <row r="156" spans="2:4" ht="15" thickBot="1" x14ac:dyDescent="0.4">
      <c r="B156" s="1" t="s">
        <v>249</v>
      </c>
      <c r="C156" t="str">
        <f t="shared" si="4"/>
        <v>Lexus IS 300h EX</v>
      </c>
      <c r="D156">
        <f t="shared" si="5"/>
        <v>942700</v>
      </c>
    </row>
    <row r="157" spans="2:4" ht="15" thickBot="1" x14ac:dyDescent="0.4">
      <c r="B157" s="1" t="s">
        <v>250</v>
      </c>
      <c r="C157" t="str">
        <f t="shared" si="4"/>
        <v>Audi A5 Sportback 40TDI quattro S line</v>
      </c>
      <c r="D157">
        <f t="shared" si="5"/>
        <v>943300</v>
      </c>
    </row>
    <row r="158" spans="2:4" ht="15" thickBot="1" x14ac:dyDescent="0.4">
      <c r="B158" s="1" t="s">
        <v>251</v>
      </c>
      <c r="C158" t="str">
        <f t="shared" si="4"/>
        <v>BMW 420d Coupé M Sport</v>
      </c>
      <c r="D158">
        <f t="shared" si="5"/>
        <v>951958</v>
      </c>
    </row>
    <row r="159" spans="2:4" ht="15" thickBot="1" x14ac:dyDescent="0.4">
      <c r="B159" s="1" t="s">
        <v>252</v>
      </c>
      <c r="C159" t="str">
        <f t="shared" si="4"/>
        <v>BMW 420i Gran Coupé M Sport</v>
      </c>
      <c r="D159">
        <f t="shared" si="5"/>
        <v>953197</v>
      </c>
    </row>
    <row r="160" spans="2:4" ht="15" thickBot="1" x14ac:dyDescent="0.4">
      <c r="B160" s="1" t="s">
        <v>253</v>
      </c>
      <c r="C160" t="str">
        <f t="shared" si="4"/>
        <v>Mercedes-Benz C220d Coupé AMG Line</v>
      </c>
      <c r="D160">
        <f t="shared" si="5"/>
        <v>954850</v>
      </c>
    </row>
    <row r="161" spans="2:4" ht="15" thickBot="1" x14ac:dyDescent="0.4">
      <c r="B161" s="1" t="s">
        <v>254</v>
      </c>
      <c r="C161" t="str">
        <f t="shared" si="4"/>
        <v>BMW Z4 sDrive20i M Sport</v>
      </c>
      <c r="D161">
        <f t="shared" si="5"/>
        <v>963645</v>
      </c>
    </row>
    <row r="162" spans="2:4" ht="15" thickBot="1" x14ac:dyDescent="0.4">
      <c r="B162" s="1" t="s">
        <v>255</v>
      </c>
      <c r="C162" t="str">
        <f t="shared" si="4"/>
        <v>Mercedes-Benz C200 Avantgarde</v>
      </c>
      <c r="D162">
        <f t="shared" si="5"/>
        <v>966156</v>
      </c>
    </row>
    <row r="163" spans="2:4" ht="15" thickBot="1" x14ac:dyDescent="0.4">
      <c r="B163" s="1" t="s">
        <v>256</v>
      </c>
      <c r="C163" t="str">
        <f t="shared" si="4"/>
        <v>BMW M235i xDrive Gran Coupé</v>
      </c>
      <c r="D163">
        <f t="shared" si="5"/>
        <v>980840</v>
      </c>
    </row>
    <row r="164" spans="2:4" ht="15" thickBot="1" x14ac:dyDescent="0.4">
      <c r="B164" s="1" t="s">
        <v>257</v>
      </c>
      <c r="C164" t="str">
        <f t="shared" si="4"/>
        <v>BMW 420i Convertible</v>
      </c>
      <c r="D164">
        <f t="shared" si="5"/>
        <v>987853</v>
      </c>
    </row>
    <row r="165" spans="2:4" ht="15" thickBot="1" x14ac:dyDescent="0.4">
      <c r="B165" s="1" t="s">
        <v>258</v>
      </c>
      <c r="C165" t="str">
        <f t="shared" si="4"/>
        <v>Mercedes-Benz E200 Avantgarde</v>
      </c>
      <c r="D165">
        <f t="shared" si="5"/>
        <v>993289</v>
      </c>
    </row>
    <row r="166" spans="2:4" ht="15" thickBot="1" x14ac:dyDescent="0.4">
      <c r="B166" s="1" t="s">
        <v>259</v>
      </c>
      <c r="C166" t="str">
        <f t="shared" si="4"/>
        <v>Volvo S90 B5 Plus Dark</v>
      </c>
      <c r="D166">
        <f t="shared" si="5"/>
        <v>998300</v>
      </c>
    </row>
    <row r="167" spans="2:4" ht="15" thickBot="1" x14ac:dyDescent="0.4">
      <c r="B167" s="1" t="s">
        <v>260</v>
      </c>
      <c r="C167" t="str">
        <f t="shared" si="4"/>
        <v>BMW 420d Gran Coupé M Sport</v>
      </c>
      <c r="D167">
        <f t="shared" si="5"/>
        <v>1000313</v>
      </c>
    </row>
    <row r="168" spans="2:4" ht="15" thickBot="1" x14ac:dyDescent="0.4">
      <c r="B168" s="1" t="s">
        <v>261</v>
      </c>
      <c r="C168" t="str">
        <f t="shared" si="4"/>
        <v>Volvo S90 B5 Plus Bright</v>
      </c>
      <c r="D168">
        <f t="shared" si="5"/>
        <v>1002500</v>
      </c>
    </row>
    <row r="169" spans="2:4" ht="15" thickBot="1" x14ac:dyDescent="0.4">
      <c r="B169" s="1" t="s">
        <v>262</v>
      </c>
      <c r="C169" t="str">
        <f t="shared" si="4"/>
        <v>Mercedes-AMG A35 Sedan 4Matic</v>
      </c>
      <c r="D169">
        <f t="shared" si="5"/>
        <v>1006041</v>
      </c>
    </row>
    <row r="170" spans="2:4" ht="15" thickBot="1" x14ac:dyDescent="0.4">
      <c r="B170" s="1" t="s">
        <v>263</v>
      </c>
      <c r="C170" t="str">
        <f t="shared" si="4"/>
        <v>Lexus IS 300h SE</v>
      </c>
      <c r="D170">
        <f t="shared" si="5"/>
        <v>1008300</v>
      </c>
    </row>
    <row r="171" spans="2:4" ht="15" thickBot="1" x14ac:dyDescent="0.4">
      <c r="B171" s="1" t="s">
        <v>264</v>
      </c>
      <c r="C171" t="str">
        <f t="shared" si="4"/>
        <v>Mercedes-Benz C200 AMG Line</v>
      </c>
      <c r="D171">
        <f t="shared" si="5"/>
        <v>1020156</v>
      </c>
    </row>
    <row r="172" spans="2:4" ht="15" thickBot="1" x14ac:dyDescent="0.4">
      <c r="B172" s="1" t="s">
        <v>265</v>
      </c>
      <c r="C172" t="str">
        <f t="shared" si="4"/>
        <v>Lexus ES 300h SE</v>
      </c>
      <c r="D172">
        <f t="shared" si="5"/>
        <v>1021300</v>
      </c>
    </row>
    <row r="173" spans="2:4" ht="15" thickBot="1" x14ac:dyDescent="0.4">
      <c r="B173" s="1" t="s">
        <v>266</v>
      </c>
      <c r="C173" t="str">
        <f t="shared" si="4"/>
        <v>Mercedes-Benz C220d Avantgarde</v>
      </c>
      <c r="D173">
        <f t="shared" si="5"/>
        <v>1030549</v>
      </c>
    </row>
    <row r="174" spans="2:4" ht="15" thickBot="1" x14ac:dyDescent="0.4">
      <c r="B174" s="1" t="s">
        <v>267</v>
      </c>
      <c r="C174" t="str">
        <f t="shared" si="4"/>
        <v>Volvo S90 B5 Ultimate Dark</v>
      </c>
      <c r="D174">
        <f t="shared" si="5"/>
        <v>1035400</v>
      </c>
    </row>
    <row r="175" spans="2:4" ht="15" thickBot="1" x14ac:dyDescent="0.4">
      <c r="B175" s="1" t="s">
        <v>268</v>
      </c>
      <c r="C175" t="str">
        <f t="shared" si="4"/>
        <v>Lexus IS 300h F Sport</v>
      </c>
      <c r="D175">
        <f t="shared" si="5"/>
        <v>1036400</v>
      </c>
    </row>
    <row r="176" spans="2:4" ht="15" thickBot="1" x14ac:dyDescent="0.4">
      <c r="B176" s="1" t="s">
        <v>269</v>
      </c>
      <c r="C176" t="str">
        <f t="shared" si="4"/>
        <v>Volvo S90 B5 Ultimate Bright</v>
      </c>
      <c r="D176">
        <f t="shared" si="5"/>
        <v>1039300</v>
      </c>
    </row>
    <row r="177" spans="2:4" ht="15" thickBot="1" x14ac:dyDescent="0.4">
      <c r="B177" s="1" t="s">
        <v>270</v>
      </c>
      <c r="C177" t="str">
        <f t="shared" si="4"/>
        <v>Audi A6 40TDI</v>
      </c>
      <c r="D177">
        <f t="shared" si="5"/>
        <v>1041000</v>
      </c>
    </row>
    <row r="178" spans="2:4" ht="15" thickBot="1" x14ac:dyDescent="0.4">
      <c r="B178" s="1" t="s">
        <v>271</v>
      </c>
      <c r="C178" t="str">
        <f t="shared" si="4"/>
        <v>BMW 420i convertible M Sport</v>
      </c>
      <c r="D178">
        <f t="shared" si="5"/>
        <v>1044553</v>
      </c>
    </row>
    <row r="179" spans="2:4" ht="15" thickBot="1" x14ac:dyDescent="0.4">
      <c r="B179" s="1" t="s">
        <v>272</v>
      </c>
      <c r="C179" t="str">
        <f t="shared" si="4"/>
        <v>Mercedes-Benz C300 Coupé AMG Line</v>
      </c>
      <c r="D179">
        <f t="shared" si="5"/>
        <v>1048213</v>
      </c>
    </row>
    <row r="180" spans="2:4" ht="15" thickBot="1" x14ac:dyDescent="0.4">
      <c r="B180" s="1" t="s">
        <v>273</v>
      </c>
      <c r="C180" t="str">
        <f t="shared" si="4"/>
        <v>Mercedes-Benz E200 AMG Line</v>
      </c>
      <c r="D180">
        <f t="shared" si="5"/>
        <v>1059589</v>
      </c>
    </row>
    <row r="181" spans="2:4" ht="29.5" thickBot="1" x14ac:dyDescent="0.4">
      <c r="B181" s="1" t="s">
        <v>274</v>
      </c>
      <c r="C181" t="str">
        <f t="shared" si="4"/>
        <v>Mercedes-Benz C200 Cabriolet AMG Line</v>
      </c>
      <c r="D181">
        <f t="shared" si="5"/>
        <v>1062081</v>
      </c>
    </row>
    <row r="182" spans="2:4" ht="15" thickBot="1" x14ac:dyDescent="0.4">
      <c r="B182" s="1" t="s">
        <v>275</v>
      </c>
      <c r="C182" t="str">
        <f t="shared" si="4"/>
        <v>Mercedes-Benz E220d Avantgarde</v>
      </c>
      <c r="D182">
        <f t="shared" si="5"/>
        <v>1066926</v>
      </c>
    </row>
    <row r="183" spans="2:4" ht="15" thickBot="1" x14ac:dyDescent="0.4">
      <c r="B183" s="1" t="s">
        <v>276</v>
      </c>
      <c r="C183" t="str">
        <f t="shared" si="4"/>
        <v>BMW 520d</v>
      </c>
      <c r="D183">
        <f t="shared" si="5"/>
        <v>1081376</v>
      </c>
    </row>
    <row r="184" spans="2:4" ht="15" thickBot="1" x14ac:dyDescent="0.4">
      <c r="B184" s="1" t="s">
        <v>277</v>
      </c>
      <c r="C184" t="str">
        <f t="shared" si="4"/>
        <v>BMW 530i</v>
      </c>
      <c r="D184">
        <f t="shared" si="5"/>
        <v>1083956</v>
      </c>
    </row>
    <row r="185" spans="2:4" ht="15" thickBot="1" x14ac:dyDescent="0.4">
      <c r="B185" s="1" t="s">
        <v>278</v>
      </c>
      <c r="C185" t="str">
        <f t="shared" si="4"/>
        <v>Mercedes-Benz C220d AMG Line</v>
      </c>
      <c r="D185">
        <f t="shared" si="5"/>
        <v>1084549</v>
      </c>
    </row>
    <row r="186" spans="2:4" ht="15" thickBot="1" x14ac:dyDescent="0.4">
      <c r="B186" s="1" t="s">
        <v>279</v>
      </c>
      <c r="C186" t="str">
        <f t="shared" si="4"/>
        <v>Alfa Romeo Giulia 2.0T Veloce</v>
      </c>
      <c r="D186">
        <f t="shared" si="5"/>
        <v>1086900</v>
      </c>
    </row>
    <row r="187" spans="2:4" ht="15" thickBot="1" x14ac:dyDescent="0.4">
      <c r="B187" s="1" t="s">
        <v>280</v>
      </c>
      <c r="C187" t="str">
        <f t="shared" si="4"/>
        <v>Audi S4 TFSI quattro</v>
      </c>
      <c r="D187">
        <f t="shared" si="5"/>
        <v>1087000</v>
      </c>
    </row>
    <row r="188" spans="2:4" ht="15" thickBot="1" x14ac:dyDescent="0.4">
      <c r="B188" s="1" t="s">
        <v>281</v>
      </c>
      <c r="C188" t="str">
        <f t="shared" si="4"/>
        <v>Audi A6 40TDI sports S line</v>
      </c>
      <c r="D188">
        <f t="shared" si="5"/>
        <v>1090700</v>
      </c>
    </row>
    <row r="189" spans="2:4" ht="15" thickBot="1" x14ac:dyDescent="0.4">
      <c r="B189" s="1" t="s">
        <v>282</v>
      </c>
      <c r="C189" t="str">
        <f t="shared" si="4"/>
        <v>Mercedes-AMG A35 Hatch 4Matic</v>
      </c>
      <c r="D189">
        <f t="shared" si="5"/>
        <v>1112448</v>
      </c>
    </row>
    <row r="190" spans="2:4" ht="15" thickBot="1" x14ac:dyDescent="0.4">
      <c r="B190" s="1" t="s">
        <v>283</v>
      </c>
      <c r="C190" t="str">
        <f t="shared" si="4"/>
        <v>Ford Mustang 5.0 GT Fastback</v>
      </c>
      <c r="D190">
        <f t="shared" si="5"/>
        <v>1117500</v>
      </c>
    </row>
    <row r="191" spans="2:4" ht="15" thickBot="1" x14ac:dyDescent="0.4">
      <c r="B191" s="1" t="s">
        <v>284</v>
      </c>
      <c r="C191" t="str">
        <f t="shared" si="4"/>
        <v>Mercedes-Benz E220d AMG Line</v>
      </c>
      <c r="D191">
        <f t="shared" si="5"/>
        <v>1133226</v>
      </c>
    </row>
    <row r="192" spans="2:4" ht="15" thickBot="1" x14ac:dyDescent="0.4">
      <c r="B192" s="1" t="s">
        <v>285</v>
      </c>
      <c r="C192" t="str">
        <f t="shared" si="4"/>
        <v>BMW M240i xDrive Coupé</v>
      </c>
      <c r="D192">
        <f t="shared" si="5"/>
        <v>1138662</v>
      </c>
    </row>
    <row r="193" spans="2:4" ht="15" thickBot="1" x14ac:dyDescent="0.4">
      <c r="B193" s="1" t="s">
        <v>286</v>
      </c>
      <c r="C193" t="str">
        <f t="shared" si="4"/>
        <v>BMW 520d M Sport</v>
      </c>
      <c r="D193">
        <f t="shared" si="5"/>
        <v>1143776</v>
      </c>
    </row>
    <row r="194" spans="2:4" ht="15" thickBot="1" x14ac:dyDescent="0.4">
      <c r="B194" s="1" t="s">
        <v>287</v>
      </c>
      <c r="C194" t="str">
        <f t="shared" si="4"/>
        <v>BMW 530i M Sport</v>
      </c>
      <c r="D194">
        <f t="shared" si="5"/>
        <v>1146356</v>
      </c>
    </row>
    <row r="195" spans="2:4" ht="15" thickBot="1" x14ac:dyDescent="0.4">
      <c r="B195" s="1" t="s">
        <v>288</v>
      </c>
      <c r="C195" t="str">
        <f t="shared" ref="C195:C258" si="6">TRIM(LEFT(B195, FIND("©",SUBSTITUTE(B195,"R","©",LEN(B195)-LEN(SUBSTITUTE(B195,"R",""))))-1))</f>
        <v>Toyota GR Supra 3.0T Track</v>
      </c>
      <c r="D195">
        <f t="shared" ref="D195:D258" si="7">--SUBSTITUTE(TRIM(RIGHT(B195, LEN(B195) - FIND("©",SUBSTITUTE(B195,"R","©",LEN(B195)-LEN(SUBSTITUTE(B195,"R","")))))), " ", "")</f>
        <v>1155900</v>
      </c>
    </row>
    <row r="196" spans="2:4" ht="15" thickBot="1" x14ac:dyDescent="0.4">
      <c r="B196" s="1" t="s">
        <v>289</v>
      </c>
      <c r="C196" t="str">
        <f t="shared" si="6"/>
        <v>Mercedes-AMG CLA35 4Matic</v>
      </c>
      <c r="D196">
        <f t="shared" si="7"/>
        <v>1166348</v>
      </c>
    </row>
    <row r="197" spans="2:4" ht="15" thickBot="1" x14ac:dyDescent="0.4">
      <c r="B197" s="1" t="s">
        <v>290</v>
      </c>
      <c r="C197" t="str">
        <f t="shared" si="6"/>
        <v>Audi S5 TFSI Coupé quattro</v>
      </c>
      <c r="D197">
        <f t="shared" si="7"/>
        <v>1169400</v>
      </c>
    </row>
    <row r="198" spans="2:4" ht="29.5" thickBot="1" x14ac:dyDescent="0.4">
      <c r="B198" s="1" t="s">
        <v>291</v>
      </c>
      <c r="C198" t="str">
        <f t="shared" si="6"/>
        <v>Mercedes-Benz C300 Cabriolet AMG Line</v>
      </c>
      <c r="D198">
        <f t="shared" si="7"/>
        <v>1182231</v>
      </c>
    </row>
    <row r="199" spans="2:4" ht="15" thickBot="1" x14ac:dyDescent="0.4">
      <c r="B199" s="1" t="s">
        <v>292</v>
      </c>
      <c r="C199" t="str">
        <f t="shared" si="6"/>
        <v>Audi S5 TFSI Sportback quattro</v>
      </c>
      <c r="D199">
        <f t="shared" si="7"/>
        <v>1184400</v>
      </c>
    </row>
    <row r="200" spans="2:4" ht="15" thickBot="1" x14ac:dyDescent="0.4">
      <c r="B200" s="1" t="s">
        <v>293</v>
      </c>
      <c r="C200" t="str">
        <f t="shared" si="6"/>
        <v>Volvo S90 B6 AWD Plus Dark</v>
      </c>
      <c r="D200">
        <f t="shared" si="7"/>
        <v>1186900</v>
      </c>
    </row>
    <row r="201" spans="2:4" ht="29.5" thickBot="1" x14ac:dyDescent="0.4">
      <c r="B201" s="1" t="s">
        <v>294</v>
      </c>
      <c r="C201" t="str">
        <f t="shared" si="6"/>
        <v>Ford Mustang 5.0 GT/CS California Special fastback</v>
      </c>
      <c r="D201">
        <f t="shared" si="7"/>
        <v>1187500</v>
      </c>
    </row>
    <row r="202" spans="2:4" ht="15" thickBot="1" x14ac:dyDescent="0.4">
      <c r="B202" s="1" t="s">
        <v>295</v>
      </c>
      <c r="C202" t="str">
        <f t="shared" si="6"/>
        <v>Volvo S90 B6 AWD Plus Bright</v>
      </c>
      <c r="D202">
        <f t="shared" si="7"/>
        <v>1190800</v>
      </c>
    </row>
    <row r="203" spans="2:4" ht="15" thickBot="1" x14ac:dyDescent="0.4">
      <c r="B203" s="1" t="s">
        <v>296</v>
      </c>
      <c r="C203" t="str">
        <f t="shared" si="6"/>
        <v>Ford Mustang 5.0 GT Convertible</v>
      </c>
      <c r="D203">
        <f t="shared" si="7"/>
        <v>1194000</v>
      </c>
    </row>
    <row r="204" spans="2:4" ht="15" thickBot="1" x14ac:dyDescent="0.4">
      <c r="B204" s="1" t="s">
        <v>297</v>
      </c>
      <c r="C204" t="str">
        <f t="shared" si="6"/>
        <v>Audi TT RS Coupé quattro</v>
      </c>
      <c r="D204">
        <f t="shared" si="7"/>
        <v>1211200</v>
      </c>
    </row>
    <row r="205" spans="2:4" ht="15" thickBot="1" x14ac:dyDescent="0.4">
      <c r="B205" s="1" t="s">
        <v>298</v>
      </c>
      <c r="C205" t="str">
        <f t="shared" si="6"/>
        <v>Audi RS3 Sportback quattro</v>
      </c>
      <c r="D205">
        <f t="shared" si="7"/>
        <v>1215000</v>
      </c>
    </row>
    <row r="206" spans="2:4" ht="15" thickBot="1" x14ac:dyDescent="0.4">
      <c r="B206" s="1" t="s">
        <v>299</v>
      </c>
      <c r="C206" t="str">
        <f t="shared" si="6"/>
        <v>Volvo S90 B6 AWD Ultimate Dark</v>
      </c>
      <c r="D206">
        <f t="shared" si="7"/>
        <v>1223900</v>
      </c>
    </row>
    <row r="207" spans="2:4" ht="15" thickBot="1" x14ac:dyDescent="0.4">
      <c r="B207" s="1" t="s">
        <v>300</v>
      </c>
      <c r="C207" t="str">
        <f t="shared" si="6"/>
        <v>Volvo S90 B6 AWD Ultimate Bright</v>
      </c>
      <c r="D207">
        <f t="shared" si="7"/>
        <v>1227800</v>
      </c>
    </row>
    <row r="208" spans="2:4" ht="15" thickBot="1" x14ac:dyDescent="0.4">
      <c r="B208" s="1" t="s">
        <v>301</v>
      </c>
      <c r="C208" t="str">
        <f t="shared" si="6"/>
        <v>Ford Mustang 5.0 Mach 1 Fastback</v>
      </c>
      <c r="D208">
        <f t="shared" si="7"/>
        <v>1233400</v>
      </c>
    </row>
    <row r="209" spans="2:4" ht="15" thickBot="1" x14ac:dyDescent="0.4">
      <c r="B209" s="1" t="s">
        <v>302</v>
      </c>
      <c r="C209" t="str">
        <f t="shared" si="6"/>
        <v>Mercedes-Benz E300 Coupé AMG Line</v>
      </c>
      <c r="D209">
        <f t="shared" si="7"/>
        <v>1240989</v>
      </c>
    </row>
    <row r="210" spans="2:4" ht="15" thickBot="1" x14ac:dyDescent="0.4">
      <c r="B210" s="1" t="s">
        <v>303</v>
      </c>
      <c r="C210" t="str">
        <f t="shared" si="6"/>
        <v>Audi RS3 Sedan quattro</v>
      </c>
      <c r="D210">
        <f t="shared" si="7"/>
        <v>1245000</v>
      </c>
    </row>
    <row r="211" spans="2:4" ht="15" thickBot="1" x14ac:dyDescent="0.4">
      <c r="B211" s="1" t="s">
        <v>304</v>
      </c>
      <c r="C211" t="str">
        <f t="shared" si="6"/>
        <v>Audi A6 45TDI quattro</v>
      </c>
      <c r="D211">
        <f t="shared" si="7"/>
        <v>1245700</v>
      </c>
    </row>
    <row r="212" spans="2:4" ht="15" thickBot="1" x14ac:dyDescent="0.4">
      <c r="B212" s="1" t="s">
        <v>305</v>
      </c>
      <c r="C212" t="str">
        <f t="shared" si="6"/>
        <v>Mercedes-AMG A45 S Hatch 4Matic+</v>
      </c>
      <c r="D212">
        <f t="shared" si="7"/>
        <v>1256243</v>
      </c>
    </row>
    <row r="213" spans="2:4" ht="15" thickBot="1" x14ac:dyDescent="0.4">
      <c r="B213" s="1" t="s">
        <v>306</v>
      </c>
      <c r="C213" t="str">
        <f t="shared" si="6"/>
        <v>Audi TT RS Roadster quattro</v>
      </c>
      <c r="D213">
        <f t="shared" si="7"/>
        <v>1267100</v>
      </c>
    </row>
    <row r="214" spans="2:4" ht="15" thickBot="1" x14ac:dyDescent="0.4">
      <c r="B214" s="1" t="s">
        <v>307</v>
      </c>
      <c r="C214" t="str">
        <f t="shared" si="6"/>
        <v>Audi S5 TFSI Cabriolet quattro</v>
      </c>
      <c r="D214">
        <f t="shared" si="7"/>
        <v>1269400</v>
      </c>
    </row>
    <row r="215" spans="2:4" ht="15" thickBot="1" x14ac:dyDescent="0.4">
      <c r="B215" s="1" t="s">
        <v>308</v>
      </c>
      <c r="C215" t="str">
        <f t="shared" si="6"/>
        <v>BMW Z4 M40i</v>
      </c>
      <c r="D215">
        <f t="shared" si="7"/>
        <v>1286537</v>
      </c>
    </row>
    <row r="216" spans="2:4" ht="15" thickBot="1" x14ac:dyDescent="0.4">
      <c r="B216" s="1" t="s">
        <v>309</v>
      </c>
      <c r="C216" t="str">
        <f t="shared" si="6"/>
        <v>Audi A6 45TDI quattro sports S line</v>
      </c>
      <c r="D216">
        <f t="shared" si="7"/>
        <v>1295400</v>
      </c>
    </row>
    <row r="217" spans="2:4" ht="15" thickBot="1" x14ac:dyDescent="0.4">
      <c r="B217" s="1" t="s">
        <v>310</v>
      </c>
      <c r="C217" t="str">
        <f t="shared" si="6"/>
        <v>Toyota GR Supra 3.0T</v>
      </c>
      <c r="D217">
        <f t="shared" si="7"/>
        <v>1300600</v>
      </c>
    </row>
    <row r="218" spans="2:4" ht="15" thickBot="1" x14ac:dyDescent="0.4">
      <c r="B218" s="1" t="s">
        <v>311</v>
      </c>
      <c r="C218" t="str">
        <f t="shared" si="6"/>
        <v>BMW M440i xDrive Coupé</v>
      </c>
      <c r="D218">
        <f t="shared" si="7"/>
        <v>1327599</v>
      </c>
    </row>
    <row r="219" spans="2:4" ht="15" thickBot="1" x14ac:dyDescent="0.4">
      <c r="B219" s="1" t="s">
        <v>312</v>
      </c>
      <c r="C219" t="str">
        <f t="shared" si="6"/>
        <v>BMW M340i xDrive</v>
      </c>
      <c r="D219">
        <f t="shared" si="7"/>
        <v>1338207</v>
      </c>
    </row>
    <row r="220" spans="2:4" ht="15" thickBot="1" x14ac:dyDescent="0.4">
      <c r="B220" s="1" t="s">
        <v>313</v>
      </c>
      <c r="C220" t="str">
        <f t="shared" si="6"/>
        <v>Mercedes-AMG C43 Coupé 4Matic</v>
      </c>
      <c r="D220">
        <f t="shared" si="7"/>
        <v>1358432</v>
      </c>
    </row>
    <row r="221" spans="2:4" ht="29.5" thickBot="1" x14ac:dyDescent="0.4">
      <c r="B221" s="1" t="s">
        <v>314</v>
      </c>
      <c r="C221" t="str">
        <f t="shared" si="6"/>
        <v>Mercedes-Benz E300 Cabriolet AMG Line</v>
      </c>
      <c r="D221">
        <f t="shared" si="7"/>
        <v>1393444</v>
      </c>
    </row>
    <row r="222" spans="2:4" ht="15" thickBot="1" x14ac:dyDescent="0.4">
      <c r="B222" s="1" t="s">
        <v>315</v>
      </c>
      <c r="C222" t="str">
        <f t="shared" si="6"/>
        <v>BMW M440i xDrive Gran Coupé</v>
      </c>
      <c r="D222">
        <f t="shared" si="7"/>
        <v>1413966</v>
      </c>
    </row>
    <row r="223" spans="2:4" ht="15" thickBot="1" x14ac:dyDescent="0.4">
      <c r="B223" s="1" t="s">
        <v>316</v>
      </c>
      <c r="C223" t="str">
        <f t="shared" si="6"/>
        <v>BMW M440i xDrive Convertible</v>
      </c>
      <c r="D223">
        <f t="shared" si="7"/>
        <v>1439117</v>
      </c>
    </row>
    <row r="224" spans="2:4" ht="15" thickBot="1" x14ac:dyDescent="0.4">
      <c r="B224" s="1" t="s">
        <v>317</v>
      </c>
      <c r="C224" t="str">
        <f t="shared" si="6"/>
        <v>Mercedes-AMG CLA45 S 4Matic+</v>
      </c>
      <c r="D224">
        <f t="shared" si="7"/>
        <v>1466237</v>
      </c>
    </row>
    <row r="225" spans="2:4" ht="15" thickBot="1" x14ac:dyDescent="0.4">
      <c r="B225" s="1" t="s">
        <v>318</v>
      </c>
      <c r="C225" t="str">
        <f t="shared" si="6"/>
        <v>Audi A7 Sportback 55TFSI quattro</v>
      </c>
      <c r="D225">
        <f t="shared" si="7"/>
        <v>1469700</v>
      </c>
    </row>
    <row r="226" spans="2:4" ht="15" thickBot="1" x14ac:dyDescent="0.4">
      <c r="B226" s="1" t="s">
        <v>319</v>
      </c>
      <c r="C226" t="str">
        <f t="shared" si="6"/>
        <v>Mercedes-AMG C43 Cabriolet 4Matic</v>
      </c>
      <c r="D226">
        <f t="shared" si="7"/>
        <v>1489495</v>
      </c>
    </row>
    <row r="227" spans="2:4" ht="15" thickBot="1" x14ac:dyDescent="0.4">
      <c r="B227" s="1" t="s">
        <v>320</v>
      </c>
      <c r="C227" t="str">
        <f t="shared" si="6"/>
        <v>BMW M2 Coupé</v>
      </c>
      <c r="D227">
        <f t="shared" si="7"/>
        <v>1503975</v>
      </c>
    </row>
    <row r="228" spans="2:4" ht="15" thickBot="1" x14ac:dyDescent="0.4">
      <c r="B228" s="1" t="s">
        <v>321</v>
      </c>
      <c r="C228" t="str">
        <f t="shared" si="6"/>
        <v>Audi A7 Sportback 55TFSI quattro S line</v>
      </c>
      <c r="D228">
        <f t="shared" si="7"/>
        <v>1505980</v>
      </c>
    </row>
    <row r="229" spans="2:4" ht="15" thickBot="1" x14ac:dyDescent="0.4">
      <c r="B229" s="1" t="s">
        <v>83</v>
      </c>
      <c r="C229" t="str">
        <f t="shared" si="6"/>
        <v>Porsche 718 Cayman GTS 4.0</v>
      </c>
      <c r="D229">
        <f t="shared" si="7"/>
        <v>1549000</v>
      </c>
    </row>
    <row r="230" spans="2:4" ht="15" thickBot="1" x14ac:dyDescent="0.4">
      <c r="B230" s="1" t="s">
        <v>322</v>
      </c>
      <c r="C230" t="str">
        <f t="shared" si="6"/>
        <v>Audi RS5 Coupé quattro</v>
      </c>
      <c r="D230">
        <f t="shared" si="7"/>
        <v>1552700</v>
      </c>
    </row>
    <row r="231" spans="2:4" ht="15" thickBot="1" x14ac:dyDescent="0.4">
      <c r="B231" s="1" t="s">
        <v>323</v>
      </c>
      <c r="C231" t="str">
        <f t="shared" si="6"/>
        <v>Audi RS5 Sportback quattro</v>
      </c>
      <c r="D231">
        <f t="shared" si="7"/>
        <v>1567700</v>
      </c>
    </row>
    <row r="232" spans="2:4" ht="15" thickBot="1" x14ac:dyDescent="0.4">
      <c r="B232" s="1" t="s">
        <v>324</v>
      </c>
      <c r="C232" t="str">
        <f t="shared" si="6"/>
        <v>Audi S6 TFSI quattro</v>
      </c>
      <c r="D232">
        <f t="shared" si="7"/>
        <v>1586900</v>
      </c>
    </row>
    <row r="233" spans="2:4" ht="15" thickBot="1" x14ac:dyDescent="0.4">
      <c r="B233" s="1" t="s">
        <v>84</v>
      </c>
      <c r="C233" t="str">
        <f t="shared" si="6"/>
        <v>Porsche 718 Boxster GTS 4.0</v>
      </c>
      <c r="D233">
        <f t="shared" si="7"/>
        <v>1589000</v>
      </c>
    </row>
    <row r="234" spans="2:4" ht="15" thickBot="1" x14ac:dyDescent="0.4">
      <c r="B234" s="1" t="s">
        <v>325</v>
      </c>
      <c r="C234" t="str">
        <f t="shared" si="6"/>
        <v>Lexus RC F</v>
      </c>
      <c r="D234">
        <f t="shared" si="7"/>
        <v>1615000</v>
      </c>
    </row>
    <row r="235" spans="2:4" ht="15" thickBot="1" x14ac:dyDescent="0.4">
      <c r="B235" s="1" t="s">
        <v>326</v>
      </c>
      <c r="C235" t="str">
        <f t="shared" si="6"/>
        <v>BMW i4 M50</v>
      </c>
      <c r="D235">
        <f t="shared" si="7"/>
        <v>1637900</v>
      </c>
    </row>
    <row r="236" spans="2:4" ht="15" thickBot="1" x14ac:dyDescent="0.4">
      <c r="B236" s="1" t="s">
        <v>327</v>
      </c>
      <c r="C236" t="str">
        <f t="shared" si="6"/>
        <v>BMW M550i xDrive</v>
      </c>
      <c r="D236">
        <f t="shared" si="7"/>
        <v>1647922</v>
      </c>
    </row>
    <row r="237" spans="2:4" ht="15" thickBot="1" x14ac:dyDescent="0.4">
      <c r="B237" s="1" t="s">
        <v>328</v>
      </c>
      <c r="C237" t="str">
        <f t="shared" si="6"/>
        <v>Porsche Panamera</v>
      </c>
      <c r="D237">
        <f t="shared" si="7"/>
        <v>1669000</v>
      </c>
    </row>
    <row r="238" spans="2:4" ht="15" thickBot="1" x14ac:dyDescent="0.4">
      <c r="B238" s="1" t="s">
        <v>329</v>
      </c>
      <c r="C238" t="str">
        <f t="shared" si="6"/>
        <v>Audi S7 TFSI Sportback quattro</v>
      </c>
      <c r="D238">
        <f t="shared" si="7"/>
        <v>1699300</v>
      </c>
    </row>
    <row r="239" spans="2:4" ht="15" thickBot="1" x14ac:dyDescent="0.4">
      <c r="B239" s="1" t="s">
        <v>330</v>
      </c>
      <c r="C239" t="str">
        <f t="shared" si="6"/>
        <v>Porsche Panamera 4</v>
      </c>
      <c r="D239">
        <f t="shared" si="7"/>
        <v>1770000</v>
      </c>
    </row>
    <row r="240" spans="2:4" ht="15" thickBot="1" x14ac:dyDescent="0.4">
      <c r="B240" s="1" t="s">
        <v>331</v>
      </c>
      <c r="C240" t="str">
        <f t="shared" si="6"/>
        <v>Mercedes-AMG E53 Coupé 4Matic+</v>
      </c>
      <c r="D240">
        <f t="shared" si="7"/>
        <v>1780103</v>
      </c>
    </row>
    <row r="241" spans="2:4" ht="15" thickBot="1" x14ac:dyDescent="0.4">
      <c r="B241" s="1" t="s">
        <v>332</v>
      </c>
      <c r="C241" t="str">
        <f t="shared" si="6"/>
        <v>Mercedes-Benz EQE 350+ Sedan</v>
      </c>
      <c r="D241">
        <f t="shared" si="7"/>
        <v>1800000</v>
      </c>
    </row>
    <row r="242" spans="2:4" ht="15" thickBot="1" x14ac:dyDescent="0.4">
      <c r="B242" s="1" t="s">
        <v>333</v>
      </c>
      <c r="C242" t="str">
        <f t="shared" si="6"/>
        <v>Alfa Romeo Giulia Quadrifoglio</v>
      </c>
      <c r="D242">
        <f t="shared" si="7"/>
        <v>1805900</v>
      </c>
    </row>
    <row r="243" spans="2:4" ht="15" thickBot="1" x14ac:dyDescent="0.4">
      <c r="B243" s="1" t="s">
        <v>85</v>
      </c>
      <c r="C243" t="str">
        <f t="shared" si="6"/>
        <v>Porsche 718 Spyder</v>
      </c>
      <c r="D243">
        <f t="shared" si="7"/>
        <v>1839000</v>
      </c>
    </row>
    <row r="244" spans="2:4" ht="15" thickBot="1" x14ac:dyDescent="0.4">
      <c r="B244" s="1" t="s">
        <v>334</v>
      </c>
      <c r="C244" t="str">
        <f t="shared" si="6"/>
        <v>Porsche 911 Carrera Coupé</v>
      </c>
      <c r="D244">
        <f t="shared" si="7"/>
        <v>1849000</v>
      </c>
    </row>
    <row r="245" spans="2:4" ht="15" thickBot="1" x14ac:dyDescent="0.4">
      <c r="B245" s="1" t="s">
        <v>86</v>
      </c>
      <c r="C245" t="str">
        <f t="shared" si="6"/>
        <v>Porsche 718 Cayman GT4</v>
      </c>
      <c r="D245">
        <f t="shared" si="7"/>
        <v>1919000</v>
      </c>
    </row>
    <row r="246" spans="2:4" ht="15" thickBot="1" x14ac:dyDescent="0.4">
      <c r="B246" s="1" t="s">
        <v>335</v>
      </c>
      <c r="C246" t="str">
        <f t="shared" si="6"/>
        <v>Jaguar F-Type 75 Coupé</v>
      </c>
      <c r="D246">
        <f t="shared" si="7"/>
        <v>1931000</v>
      </c>
    </row>
    <row r="247" spans="2:4" ht="15" thickBot="1" x14ac:dyDescent="0.4">
      <c r="B247" s="1" t="s">
        <v>336</v>
      </c>
      <c r="C247" t="str">
        <f t="shared" si="6"/>
        <v>Mercedes-AMG E53 Cabriolet 4Matic+</v>
      </c>
      <c r="D247">
        <f t="shared" si="7"/>
        <v>1931407</v>
      </c>
    </row>
    <row r="248" spans="2:4" ht="15" thickBot="1" x14ac:dyDescent="0.4">
      <c r="B248" s="1" t="s">
        <v>337</v>
      </c>
      <c r="C248" t="str">
        <f t="shared" si="6"/>
        <v>Porsche Panamera Platinum Edition</v>
      </c>
      <c r="D248">
        <f t="shared" si="7"/>
        <v>1961000</v>
      </c>
    </row>
    <row r="249" spans="2:4" ht="15" thickBot="1" x14ac:dyDescent="0.4">
      <c r="B249" s="1" t="s">
        <v>338</v>
      </c>
      <c r="C249" t="str">
        <f t="shared" si="6"/>
        <v>Porsche 911 Carrera 4 Coupé</v>
      </c>
      <c r="D249">
        <f t="shared" si="7"/>
        <v>1979000</v>
      </c>
    </row>
    <row r="250" spans="2:4" ht="15" thickBot="1" x14ac:dyDescent="0.4">
      <c r="B250" s="1" t="s">
        <v>339</v>
      </c>
      <c r="C250" t="str">
        <f t="shared" si="6"/>
        <v>Porsche Panamera 4 executive</v>
      </c>
      <c r="D250">
        <f t="shared" si="7"/>
        <v>2024000</v>
      </c>
    </row>
    <row r="251" spans="2:4" ht="15" thickBot="1" x14ac:dyDescent="0.4">
      <c r="B251" s="1" t="s">
        <v>340</v>
      </c>
      <c r="C251" t="str">
        <f t="shared" si="6"/>
        <v>BMW M3 competition M xDrive</v>
      </c>
      <c r="D251">
        <f t="shared" si="7"/>
        <v>2040797</v>
      </c>
    </row>
    <row r="252" spans="2:4" ht="15" thickBot="1" x14ac:dyDescent="0.4">
      <c r="B252" s="1" t="s">
        <v>341</v>
      </c>
      <c r="C252" t="str">
        <f t="shared" si="6"/>
        <v>Porsche Panamera 4 Platinum Edition</v>
      </c>
      <c r="D252">
        <f t="shared" si="7"/>
        <v>2063000</v>
      </c>
    </row>
    <row r="253" spans="2:4" ht="15" thickBot="1" x14ac:dyDescent="0.4">
      <c r="B253" s="1" t="s">
        <v>342</v>
      </c>
      <c r="C253" t="str">
        <f t="shared" si="6"/>
        <v>Porsche 911 Carrera Cabriolet</v>
      </c>
      <c r="D253">
        <f t="shared" si="7"/>
        <v>2079000</v>
      </c>
    </row>
    <row r="254" spans="2:4" ht="15" thickBot="1" x14ac:dyDescent="0.4">
      <c r="B254" s="1" t="s">
        <v>87</v>
      </c>
      <c r="C254" t="str">
        <f t="shared" si="6"/>
        <v>Porsche 911 Carrera T</v>
      </c>
      <c r="D254">
        <f t="shared" si="7"/>
        <v>2080000</v>
      </c>
    </row>
    <row r="255" spans="2:4" ht="15" thickBot="1" x14ac:dyDescent="0.4">
      <c r="B255" s="1" t="s">
        <v>343</v>
      </c>
      <c r="C255" t="str">
        <f t="shared" si="6"/>
        <v>Mercedes-AMG C63 S Coupé</v>
      </c>
      <c r="D255">
        <f t="shared" si="7"/>
        <v>2098389</v>
      </c>
    </row>
    <row r="256" spans="2:4" ht="15" thickBot="1" x14ac:dyDescent="0.4">
      <c r="B256" s="1" t="s">
        <v>344</v>
      </c>
      <c r="C256" t="str">
        <f t="shared" si="6"/>
        <v>Porsche Panamera 4 e-hybrid</v>
      </c>
      <c r="D256">
        <f t="shared" si="7"/>
        <v>2119000</v>
      </c>
    </row>
    <row r="257" spans="2:4" ht="15" thickBot="1" x14ac:dyDescent="0.4">
      <c r="B257" s="1" t="s">
        <v>345</v>
      </c>
      <c r="C257" t="str">
        <f t="shared" si="6"/>
        <v>BMW M4 competition Coupé M xDrive</v>
      </c>
      <c r="D257">
        <f t="shared" si="7"/>
        <v>2120797</v>
      </c>
    </row>
    <row r="258" spans="2:4" ht="15" thickBot="1" x14ac:dyDescent="0.4">
      <c r="B258" s="1" t="s">
        <v>346</v>
      </c>
      <c r="C258" t="str">
        <f t="shared" si="6"/>
        <v>Porsche 911 Carrera S Coupé</v>
      </c>
      <c r="D258">
        <f t="shared" si="7"/>
        <v>2159000</v>
      </c>
    </row>
    <row r="259" spans="2:4" ht="15" thickBot="1" x14ac:dyDescent="0.4">
      <c r="B259" s="1" t="s">
        <v>347</v>
      </c>
      <c r="C259" t="str">
        <f t="shared" ref="C259:C322" si="8">TRIM(LEFT(B259, FIND("©",SUBSTITUTE(B259,"R","©",LEN(B259)-LEN(SUBSTITUTE(B259,"R",""))))-1))</f>
        <v>BMW 740i Design Pure Excellence</v>
      </c>
      <c r="D259">
        <f t="shared" ref="D259:D322" si="9">--SUBSTITUTE(TRIM(RIGHT(B259, LEN(B259) - FIND("©",SUBSTITUTE(B259,"R","©",LEN(B259)-LEN(SUBSTITUTE(B259,"R","")))))), " ", "")</f>
        <v>2172751</v>
      </c>
    </row>
    <row r="260" spans="2:4" ht="15" thickBot="1" x14ac:dyDescent="0.4">
      <c r="B260" s="1" t="s">
        <v>348</v>
      </c>
      <c r="C260" t="str">
        <f t="shared" si="8"/>
        <v>Porsche Taycan</v>
      </c>
      <c r="D260">
        <f t="shared" si="9"/>
        <v>2179000</v>
      </c>
    </row>
    <row r="261" spans="2:4" ht="15" thickBot="1" x14ac:dyDescent="0.4">
      <c r="B261" s="1" t="s">
        <v>349</v>
      </c>
      <c r="C261" t="str">
        <f t="shared" si="8"/>
        <v>Mercedes-AMG EQE 43 4Matic Sedan</v>
      </c>
      <c r="D261">
        <f t="shared" si="9"/>
        <v>2200000</v>
      </c>
    </row>
    <row r="262" spans="2:4" ht="29.5" thickBot="1" x14ac:dyDescent="0.4">
      <c r="B262" s="1" t="s">
        <v>350</v>
      </c>
      <c r="C262" t="str">
        <f t="shared" si="8"/>
        <v>BMW M4 competition Convertible M xDrive</v>
      </c>
      <c r="D262">
        <f t="shared" si="9"/>
        <v>2201556</v>
      </c>
    </row>
    <row r="263" spans="2:4" ht="15" thickBot="1" x14ac:dyDescent="0.4">
      <c r="B263" s="1" t="s">
        <v>351</v>
      </c>
      <c r="C263" t="str">
        <f t="shared" si="8"/>
        <v>Mercedes-AMG C63 S Cabriolet</v>
      </c>
      <c r="D263">
        <f t="shared" si="9"/>
        <v>2204756</v>
      </c>
    </row>
    <row r="264" spans="2:4" ht="15" thickBot="1" x14ac:dyDescent="0.4">
      <c r="B264" s="1" t="s">
        <v>352</v>
      </c>
      <c r="C264" t="str">
        <f t="shared" si="8"/>
        <v>Porsche 911 targa 4</v>
      </c>
      <c r="D264">
        <f t="shared" si="9"/>
        <v>2209000</v>
      </c>
    </row>
    <row r="265" spans="2:4" ht="15" thickBot="1" x14ac:dyDescent="0.4">
      <c r="B265" s="1" t="s">
        <v>353</v>
      </c>
      <c r="C265" t="str">
        <f t="shared" si="8"/>
        <v>BMW 740i M Sport</v>
      </c>
      <c r="D265">
        <f t="shared" si="9"/>
        <v>2247751</v>
      </c>
    </row>
    <row r="266" spans="2:4" ht="15" thickBot="1" x14ac:dyDescent="0.4">
      <c r="B266" s="1" t="s">
        <v>354</v>
      </c>
      <c r="C266" t="str">
        <f t="shared" si="8"/>
        <v>Maserati Ghibli GT</v>
      </c>
      <c r="D266">
        <f t="shared" si="9"/>
        <v>2250000</v>
      </c>
    </row>
    <row r="267" spans="2:4" ht="15" thickBot="1" x14ac:dyDescent="0.4">
      <c r="B267" s="1" t="s">
        <v>355</v>
      </c>
      <c r="C267" t="str">
        <f t="shared" si="8"/>
        <v>BMW M850i xDrive Gran Coupé</v>
      </c>
      <c r="D267">
        <f t="shared" si="9"/>
        <v>2252922</v>
      </c>
    </row>
    <row r="268" spans="2:4" ht="15" thickBot="1" x14ac:dyDescent="0.4">
      <c r="B268" s="1" t="s">
        <v>356</v>
      </c>
      <c r="C268" t="str">
        <f t="shared" si="8"/>
        <v>Porsche 911 Carrera 4S Coupé</v>
      </c>
      <c r="D268">
        <f t="shared" si="9"/>
        <v>2289000</v>
      </c>
    </row>
    <row r="269" spans="2:4" ht="29.5" thickBot="1" x14ac:dyDescent="0.4">
      <c r="B269" s="1" t="s">
        <v>357</v>
      </c>
      <c r="C269" t="str">
        <f t="shared" si="8"/>
        <v>BMW 740d xDrive Design Pure Excellence</v>
      </c>
      <c r="D269">
        <f t="shared" si="9"/>
        <v>2293207</v>
      </c>
    </row>
    <row r="270" spans="2:4" ht="15" thickBot="1" x14ac:dyDescent="0.4">
      <c r="B270" s="1" t="s">
        <v>358</v>
      </c>
      <c r="C270" t="str">
        <f t="shared" si="8"/>
        <v>BMW M850i xDrive Coupé</v>
      </c>
      <c r="D270">
        <f t="shared" si="9"/>
        <v>2302922</v>
      </c>
    </row>
    <row r="271" spans="2:4" ht="29.5" thickBot="1" x14ac:dyDescent="0.4">
      <c r="B271" s="1" t="s">
        <v>359</v>
      </c>
      <c r="C271" t="str">
        <f t="shared" si="8"/>
        <v>Porsche Panamera 4 e-hybrid Platinum Edition</v>
      </c>
      <c r="D271">
        <f t="shared" si="9"/>
        <v>2335000</v>
      </c>
    </row>
    <row r="272" spans="2:4" ht="15" thickBot="1" x14ac:dyDescent="0.4">
      <c r="B272" s="1" t="s">
        <v>360</v>
      </c>
      <c r="C272" t="str">
        <f t="shared" si="8"/>
        <v>Porsche Panamera 4 e-hybrid executive</v>
      </c>
      <c r="D272">
        <f t="shared" si="9"/>
        <v>2359000</v>
      </c>
    </row>
    <row r="273" spans="2:4" ht="15" thickBot="1" x14ac:dyDescent="0.4">
      <c r="B273" s="1" t="s">
        <v>361</v>
      </c>
      <c r="C273" t="str">
        <f t="shared" si="8"/>
        <v>Audi RS7 Sportback quattro</v>
      </c>
      <c r="D273">
        <f t="shared" si="9"/>
        <v>2366400</v>
      </c>
    </row>
    <row r="274" spans="2:4" ht="15" thickBot="1" x14ac:dyDescent="0.4">
      <c r="B274" s="1" t="s">
        <v>362</v>
      </c>
      <c r="C274" t="str">
        <f t="shared" si="8"/>
        <v>BMW 740d xDrive M Sport</v>
      </c>
      <c r="D274">
        <f t="shared" si="9"/>
        <v>2368207</v>
      </c>
    </row>
    <row r="275" spans="2:4" ht="15" thickBot="1" x14ac:dyDescent="0.4">
      <c r="B275" s="1" t="s">
        <v>363</v>
      </c>
      <c r="C275" t="str">
        <f t="shared" si="8"/>
        <v>Lexus LC 500 Coupé</v>
      </c>
      <c r="D275">
        <f t="shared" si="9"/>
        <v>2371000</v>
      </c>
    </row>
    <row r="276" spans="2:4" ht="15" thickBot="1" x14ac:dyDescent="0.4">
      <c r="B276" s="1" t="s">
        <v>364</v>
      </c>
      <c r="C276" t="str">
        <f t="shared" si="8"/>
        <v>Porsche 911 Carrera S Cabriolet</v>
      </c>
      <c r="D276">
        <f t="shared" si="9"/>
        <v>2389000</v>
      </c>
    </row>
    <row r="277" spans="2:4" ht="15" thickBot="1" x14ac:dyDescent="0.4">
      <c r="B277" s="1" t="s">
        <v>365</v>
      </c>
      <c r="C277" t="str">
        <f t="shared" si="8"/>
        <v>Lexus LS 500 F Sport</v>
      </c>
      <c r="D277">
        <f t="shared" si="9"/>
        <v>2397600</v>
      </c>
    </row>
    <row r="278" spans="2:4" ht="15" thickBot="1" x14ac:dyDescent="0.4">
      <c r="B278" s="1" t="s">
        <v>366</v>
      </c>
      <c r="C278" t="str">
        <f t="shared" si="8"/>
        <v>Mercedes-Benz S350d L</v>
      </c>
      <c r="D278">
        <f t="shared" si="9"/>
        <v>2435939</v>
      </c>
    </row>
    <row r="279" spans="2:4" ht="15" thickBot="1" x14ac:dyDescent="0.4">
      <c r="B279" s="1" t="s">
        <v>88</v>
      </c>
      <c r="C279" t="str">
        <f t="shared" si="8"/>
        <v>Porsche 911 Carrera GTS Coupé</v>
      </c>
      <c r="D279">
        <f t="shared" si="9"/>
        <v>2449000</v>
      </c>
    </row>
    <row r="280" spans="2:4" ht="15" thickBot="1" x14ac:dyDescent="0.4">
      <c r="B280" s="1" t="s">
        <v>367</v>
      </c>
      <c r="C280" t="str">
        <f t="shared" si="8"/>
        <v>BMW M850i xDrive Convertible</v>
      </c>
      <c r="D280">
        <f t="shared" si="9"/>
        <v>2452922</v>
      </c>
    </row>
    <row r="281" spans="2:4" ht="15" thickBot="1" x14ac:dyDescent="0.4">
      <c r="B281" s="1" t="s">
        <v>368</v>
      </c>
      <c r="C281" t="str">
        <f t="shared" si="8"/>
        <v>Porsche Panamera GTS</v>
      </c>
      <c r="D281">
        <f t="shared" si="9"/>
        <v>2463000</v>
      </c>
    </row>
    <row r="282" spans="2:4" ht="15" thickBot="1" x14ac:dyDescent="0.4">
      <c r="B282" s="1" t="s">
        <v>369</v>
      </c>
      <c r="C282" t="str">
        <f t="shared" si="8"/>
        <v>BMW M5 competition</v>
      </c>
      <c r="D282">
        <f t="shared" si="9"/>
        <v>2472466</v>
      </c>
    </row>
    <row r="283" spans="2:4" ht="15" thickBot="1" x14ac:dyDescent="0.4">
      <c r="B283" s="1" t="s">
        <v>370</v>
      </c>
      <c r="C283" t="str">
        <f t="shared" si="8"/>
        <v>Porsche Panamera 4S e-hybrid</v>
      </c>
      <c r="D283">
        <f t="shared" si="9"/>
        <v>2479000</v>
      </c>
    </row>
    <row r="284" spans="2:4" ht="15" thickBot="1" x14ac:dyDescent="0.4">
      <c r="B284" s="1" t="s">
        <v>371</v>
      </c>
      <c r="C284" t="str">
        <f t="shared" si="8"/>
        <v>Mercedes-Benz S350d L AMG Line</v>
      </c>
      <c r="D284">
        <f t="shared" si="9"/>
        <v>2512639</v>
      </c>
    </row>
    <row r="285" spans="2:4" ht="15" thickBot="1" x14ac:dyDescent="0.4">
      <c r="B285" s="1" t="s">
        <v>372</v>
      </c>
      <c r="C285" t="str">
        <f t="shared" si="8"/>
        <v>Lexus LC 500 Convertible</v>
      </c>
      <c r="D285">
        <f t="shared" si="9"/>
        <v>2513500</v>
      </c>
    </row>
    <row r="286" spans="2:4" ht="15" thickBot="1" x14ac:dyDescent="0.4">
      <c r="B286" s="1" t="s">
        <v>373</v>
      </c>
      <c r="C286" t="str">
        <f t="shared" si="8"/>
        <v>Porsche Taycan 4S</v>
      </c>
      <c r="D286">
        <f t="shared" si="9"/>
        <v>2519000</v>
      </c>
    </row>
    <row r="287" spans="2:4" ht="15" thickBot="1" x14ac:dyDescent="0.4">
      <c r="B287" s="1" t="s">
        <v>374</v>
      </c>
      <c r="C287" t="str">
        <f t="shared" si="8"/>
        <v>Lexus LS 500h</v>
      </c>
      <c r="D287">
        <f t="shared" si="9"/>
        <v>2525100</v>
      </c>
    </row>
    <row r="288" spans="2:4" ht="15" thickBot="1" x14ac:dyDescent="0.4">
      <c r="B288" s="1" t="s">
        <v>375</v>
      </c>
      <c r="C288" t="str">
        <f t="shared" si="8"/>
        <v>Porsche 911 Carrera 4 GTS Coupé</v>
      </c>
      <c r="D288">
        <f t="shared" si="9"/>
        <v>2579000</v>
      </c>
    </row>
    <row r="289" spans="2:4" ht="15" thickBot="1" x14ac:dyDescent="0.4">
      <c r="B289" s="1" t="s">
        <v>376</v>
      </c>
      <c r="C289" t="str">
        <f t="shared" si="8"/>
        <v>Lexus RC F Track Edition</v>
      </c>
      <c r="D289">
        <f t="shared" si="9"/>
        <v>2579100</v>
      </c>
    </row>
    <row r="290" spans="2:4" ht="15" thickBot="1" x14ac:dyDescent="0.4">
      <c r="B290" s="1" t="s">
        <v>377</v>
      </c>
      <c r="C290" t="str">
        <f t="shared" si="8"/>
        <v>Porsche 718 Cayman GT4 RS</v>
      </c>
      <c r="D290">
        <f t="shared" si="9"/>
        <v>2588000</v>
      </c>
    </row>
    <row r="291" spans="2:4" ht="15" thickBot="1" x14ac:dyDescent="0.4">
      <c r="B291" s="1" t="s">
        <v>378</v>
      </c>
      <c r="C291" t="str">
        <f t="shared" si="8"/>
        <v>Lexus LS 500</v>
      </c>
      <c r="D291">
        <f t="shared" si="9"/>
        <v>2595400</v>
      </c>
    </row>
    <row r="292" spans="2:4" ht="15" thickBot="1" x14ac:dyDescent="0.4">
      <c r="B292" s="1" t="s">
        <v>379</v>
      </c>
      <c r="C292" t="str">
        <f t="shared" si="8"/>
        <v>Mercedes-Benz EQS 450+ Sedan</v>
      </c>
      <c r="D292">
        <f t="shared" si="9"/>
        <v>2620500</v>
      </c>
    </row>
    <row r="293" spans="2:4" ht="15" thickBot="1" x14ac:dyDescent="0.4">
      <c r="B293" s="1" t="s">
        <v>380</v>
      </c>
      <c r="C293" t="str">
        <f t="shared" si="8"/>
        <v>Mercedes-AMG E63 S 4Matic+</v>
      </c>
      <c r="D293">
        <f t="shared" si="9"/>
        <v>2670479</v>
      </c>
    </row>
    <row r="294" spans="2:4" ht="15" thickBot="1" x14ac:dyDescent="0.4">
      <c r="B294" s="1" t="s">
        <v>89</v>
      </c>
      <c r="C294" t="str">
        <f t="shared" si="8"/>
        <v>Porsche 911 Carrera GTS Cabriolet</v>
      </c>
      <c r="D294">
        <f t="shared" si="9"/>
        <v>2679000</v>
      </c>
    </row>
    <row r="295" spans="2:4" ht="15" thickBot="1" x14ac:dyDescent="0.4">
      <c r="B295" s="1" t="s">
        <v>381</v>
      </c>
      <c r="C295" t="str">
        <f t="shared" si="8"/>
        <v>Audi e-tron GT quattro</v>
      </c>
      <c r="D295">
        <f t="shared" si="9"/>
        <v>2715000</v>
      </c>
    </row>
    <row r="296" spans="2:4" ht="15" thickBot="1" x14ac:dyDescent="0.4">
      <c r="B296" s="1" t="s">
        <v>382</v>
      </c>
      <c r="C296" t="str">
        <f t="shared" si="8"/>
        <v>Mercedes-Benz S500 L 4Matic</v>
      </c>
      <c r="D296">
        <f t="shared" si="9"/>
        <v>2735064</v>
      </c>
    </row>
    <row r="297" spans="2:4" ht="15" thickBot="1" x14ac:dyDescent="0.4">
      <c r="B297" s="1" t="s">
        <v>383</v>
      </c>
      <c r="C297" t="str">
        <f t="shared" si="8"/>
        <v>Jaguar F-Type R75 Coupé</v>
      </c>
      <c r="D297">
        <f t="shared" si="9"/>
        <v>2759000</v>
      </c>
    </row>
    <row r="298" spans="2:4" ht="29.5" thickBot="1" x14ac:dyDescent="0.4">
      <c r="B298" s="1" t="s">
        <v>384</v>
      </c>
      <c r="C298" t="str">
        <f t="shared" si="8"/>
        <v>Mercedes-Benz EQS 450+ Sedan AMG Line</v>
      </c>
      <c r="D298">
        <f t="shared" si="9"/>
        <v>2760500</v>
      </c>
    </row>
    <row r="299" spans="2:4" ht="15" thickBot="1" x14ac:dyDescent="0.4">
      <c r="B299" s="1" t="s">
        <v>385</v>
      </c>
      <c r="C299" t="str">
        <f t="shared" si="8"/>
        <v>Porsche 911 targa 4 GTS</v>
      </c>
      <c r="D299">
        <f t="shared" si="9"/>
        <v>2809000</v>
      </c>
    </row>
    <row r="300" spans="2:4" ht="29.5" thickBot="1" x14ac:dyDescent="0.4">
      <c r="B300" s="1" t="s">
        <v>386</v>
      </c>
      <c r="C300" t="str">
        <f t="shared" si="8"/>
        <v>Mercedes-Benz S500 L 4Matic AMG Line</v>
      </c>
      <c r="D300">
        <f t="shared" si="9"/>
        <v>2811764</v>
      </c>
    </row>
    <row r="301" spans="2:4" ht="15" thickBot="1" x14ac:dyDescent="0.4">
      <c r="B301" s="1" t="s">
        <v>387</v>
      </c>
      <c r="C301" t="str">
        <f t="shared" si="8"/>
        <v>BMW i7 xDrive60</v>
      </c>
      <c r="D301">
        <f t="shared" si="9"/>
        <v>2825000</v>
      </c>
    </row>
    <row r="302" spans="2:4" ht="15" thickBot="1" x14ac:dyDescent="0.4">
      <c r="B302" s="1" t="s">
        <v>388</v>
      </c>
      <c r="C302" t="str">
        <f t="shared" si="8"/>
        <v>Maserati Quattroporte GT</v>
      </c>
      <c r="D302">
        <f t="shared" si="9"/>
        <v>2850000</v>
      </c>
    </row>
    <row r="303" spans="2:4" ht="15" thickBot="1" x14ac:dyDescent="0.4">
      <c r="B303" s="1" t="s">
        <v>389</v>
      </c>
      <c r="C303" t="str">
        <f t="shared" si="8"/>
        <v>BMW i7 xDrive60 M Sport</v>
      </c>
      <c r="D303">
        <f t="shared" si="9"/>
        <v>2900000</v>
      </c>
    </row>
    <row r="304" spans="2:4" ht="29.5" thickBot="1" x14ac:dyDescent="0.4">
      <c r="B304" s="1" t="s">
        <v>390</v>
      </c>
      <c r="C304" t="str">
        <f t="shared" si="8"/>
        <v>Porsche 911 targa Edition 50 Years Porsche Design</v>
      </c>
      <c r="D304">
        <f t="shared" si="9"/>
        <v>3029000</v>
      </c>
    </row>
    <row r="305" spans="2:4" ht="15" thickBot="1" x14ac:dyDescent="0.4">
      <c r="B305" s="1" t="s">
        <v>391</v>
      </c>
      <c r="C305" t="str">
        <f t="shared" si="8"/>
        <v>Porsche Taycan GTS</v>
      </c>
      <c r="D305">
        <f t="shared" si="9"/>
        <v>3059000</v>
      </c>
    </row>
    <row r="306" spans="2:4" ht="15" thickBot="1" x14ac:dyDescent="0.4">
      <c r="B306" s="1" t="s">
        <v>392</v>
      </c>
      <c r="C306" t="str">
        <f t="shared" si="8"/>
        <v>Porsche Taycan turbo</v>
      </c>
      <c r="D306">
        <f t="shared" si="9"/>
        <v>3329000</v>
      </c>
    </row>
    <row r="307" spans="2:4" ht="15" thickBot="1" x14ac:dyDescent="0.4">
      <c r="B307" s="1" t="s">
        <v>90</v>
      </c>
      <c r="C307" t="str">
        <f t="shared" si="8"/>
        <v>Porsche 911 GT3</v>
      </c>
      <c r="D307">
        <f t="shared" si="9"/>
        <v>3349000</v>
      </c>
    </row>
    <row r="308" spans="2:4" ht="15" thickBot="1" x14ac:dyDescent="0.4">
      <c r="B308" s="1" t="s">
        <v>393</v>
      </c>
      <c r="C308" t="str">
        <f t="shared" si="8"/>
        <v>Maserati Ghibli Trofeo</v>
      </c>
      <c r="D308">
        <f t="shared" si="9"/>
        <v>3350000</v>
      </c>
    </row>
    <row r="309" spans="2:4" ht="15" thickBot="1" x14ac:dyDescent="0.4">
      <c r="B309" s="1" t="s">
        <v>394</v>
      </c>
      <c r="C309" t="str">
        <f t="shared" si="8"/>
        <v>Audi RS e-tron GT quattro</v>
      </c>
      <c r="D309">
        <f t="shared" si="9"/>
        <v>3359400</v>
      </c>
    </row>
    <row r="310" spans="2:4" ht="15" thickBot="1" x14ac:dyDescent="0.4">
      <c r="B310" s="1" t="s">
        <v>395</v>
      </c>
      <c r="C310" t="str">
        <f t="shared" si="8"/>
        <v>BMW M8 competition Gran Coupé</v>
      </c>
      <c r="D310">
        <f t="shared" si="9"/>
        <v>3372466</v>
      </c>
    </row>
    <row r="311" spans="2:4" ht="15" thickBot="1" x14ac:dyDescent="0.4">
      <c r="B311" s="1" t="s">
        <v>396</v>
      </c>
      <c r="C311" t="str">
        <f t="shared" si="8"/>
        <v>Porsche Panamera turbo S</v>
      </c>
      <c r="D311">
        <f t="shared" si="9"/>
        <v>3388000</v>
      </c>
    </row>
    <row r="312" spans="2:4" ht="15" thickBot="1" x14ac:dyDescent="0.4">
      <c r="B312" s="1" t="s">
        <v>397</v>
      </c>
      <c r="C312" t="str">
        <f t="shared" si="8"/>
        <v>Mercedes-AMG EQS 53 4Matic+ Sedan</v>
      </c>
      <c r="D312">
        <f t="shared" si="9"/>
        <v>3415250</v>
      </c>
    </row>
    <row r="313" spans="2:4" ht="15" thickBot="1" x14ac:dyDescent="0.4">
      <c r="B313" s="1" t="s">
        <v>398</v>
      </c>
      <c r="C313" t="str">
        <f t="shared" si="8"/>
        <v>BMW M8 competition Coupé</v>
      </c>
      <c r="D313">
        <f t="shared" si="9"/>
        <v>3421859</v>
      </c>
    </row>
    <row r="314" spans="2:4" ht="15" thickBot="1" x14ac:dyDescent="0.4">
      <c r="B314" s="1" t="s">
        <v>399</v>
      </c>
      <c r="C314" t="str">
        <f t="shared" si="8"/>
        <v>Maserati Quattroporte Modena</v>
      </c>
      <c r="D314">
        <f t="shared" si="9"/>
        <v>3450000</v>
      </c>
    </row>
    <row r="315" spans="2:4" ht="29.5" thickBot="1" x14ac:dyDescent="0.4">
      <c r="B315" s="1" t="s">
        <v>400</v>
      </c>
      <c r="C315" t="str">
        <f t="shared" si="8"/>
        <v>Audi R8 Coupé V10 performance quattro</v>
      </c>
      <c r="D315">
        <f t="shared" si="9"/>
        <v>3523600</v>
      </c>
    </row>
    <row r="316" spans="2:4" ht="15" thickBot="1" x14ac:dyDescent="0.4">
      <c r="B316" s="1" t="s">
        <v>401</v>
      </c>
      <c r="C316" t="str">
        <f t="shared" si="8"/>
        <v>BMW M8 competition Convertible</v>
      </c>
      <c r="D316">
        <f t="shared" si="9"/>
        <v>3572618</v>
      </c>
    </row>
    <row r="317" spans="2:4" ht="15" thickBot="1" x14ac:dyDescent="0.4">
      <c r="B317" s="1" t="s">
        <v>402</v>
      </c>
      <c r="C317" t="str">
        <f t="shared" si="8"/>
        <v>Porsche Panamera turbo S e-hybrid</v>
      </c>
      <c r="D317">
        <f t="shared" si="9"/>
        <v>3582000</v>
      </c>
    </row>
    <row r="318" spans="2:4" ht="15" thickBot="1" x14ac:dyDescent="0.4">
      <c r="B318" s="1" t="s">
        <v>403</v>
      </c>
      <c r="C318" t="str">
        <f t="shared" si="8"/>
        <v>Porsche 911 turbo Coupé</v>
      </c>
      <c r="D318">
        <f t="shared" si="9"/>
        <v>3669000</v>
      </c>
    </row>
    <row r="319" spans="2:4" ht="15" thickBot="1" x14ac:dyDescent="0.4">
      <c r="B319" s="1" t="s">
        <v>404</v>
      </c>
      <c r="C319" t="str">
        <f t="shared" si="8"/>
        <v>Mercedes-Maybach S580</v>
      </c>
      <c r="D319">
        <f t="shared" si="9"/>
        <v>3736681</v>
      </c>
    </row>
    <row r="320" spans="2:4" ht="29.5" thickBot="1" x14ac:dyDescent="0.4">
      <c r="B320" s="1" t="s">
        <v>405</v>
      </c>
      <c r="C320" t="str">
        <f t="shared" si="8"/>
        <v>Audi R8 Spyder V10 performance quattro</v>
      </c>
      <c r="D320">
        <f t="shared" si="9"/>
        <v>3795100</v>
      </c>
    </row>
    <row r="321" spans="2:4" ht="15" thickBot="1" x14ac:dyDescent="0.4">
      <c r="B321" s="1" t="s">
        <v>406</v>
      </c>
      <c r="C321" t="str">
        <f t="shared" si="8"/>
        <v>Porsche 911 turbo Cabriolet</v>
      </c>
      <c r="D321">
        <f t="shared" si="9"/>
        <v>3899000</v>
      </c>
    </row>
    <row r="322" spans="2:4" ht="15" thickBot="1" x14ac:dyDescent="0.4">
      <c r="B322" s="1" t="s">
        <v>407</v>
      </c>
      <c r="C322" t="str">
        <f t="shared" si="8"/>
        <v>Porsche Taycan turbo S</v>
      </c>
      <c r="D322">
        <f t="shared" si="9"/>
        <v>3909000</v>
      </c>
    </row>
    <row r="323" spans="2:4" ht="15" thickBot="1" x14ac:dyDescent="0.4">
      <c r="B323" s="1" t="s">
        <v>408</v>
      </c>
      <c r="C323" t="str">
        <f t="shared" ref="C323:C354" si="10">TRIM(LEFT(B323, FIND("©",SUBSTITUTE(B323,"R","©",LEN(B323)-LEN(SUBSTITUTE(B323,"R",""))))-1))</f>
        <v>Porsche 911 Dakar</v>
      </c>
      <c r="D323">
        <f t="shared" ref="D323:D354" si="11">--SUBSTITUTE(TRIM(RIGHT(B323, LEN(B323) - FIND("©",SUBSTITUTE(B323,"R","©",LEN(B323)-LEN(SUBSTITUTE(B323,"R","")))))), " ", "")</f>
        <v>4140000</v>
      </c>
    </row>
    <row r="324" spans="2:4" ht="15" thickBot="1" x14ac:dyDescent="0.4">
      <c r="B324" s="1" t="s">
        <v>409</v>
      </c>
      <c r="C324" t="str">
        <f t="shared" si="10"/>
        <v>Porsche 911 GT3 RS</v>
      </c>
      <c r="D324">
        <f t="shared" si="11"/>
        <v>4153000</v>
      </c>
    </row>
    <row r="325" spans="2:4" ht="15" thickBot="1" x14ac:dyDescent="0.4">
      <c r="B325" s="1" t="s">
        <v>410</v>
      </c>
      <c r="C325" t="str">
        <f t="shared" si="10"/>
        <v>Porsche 911 turbo S Coupé</v>
      </c>
      <c r="D325">
        <f t="shared" si="11"/>
        <v>4179000</v>
      </c>
    </row>
    <row r="326" spans="2:4" ht="15" thickBot="1" x14ac:dyDescent="0.4">
      <c r="B326" s="1" t="s">
        <v>411</v>
      </c>
      <c r="C326" t="str">
        <f t="shared" si="10"/>
        <v>Porsche 911 turbo S Cabriolet</v>
      </c>
      <c r="D326">
        <f t="shared" si="11"/>
        <v>4409000</v>
      </c>
    </row>
    <row r="327" spans="2:4" ht="15" thickBot="1" x14ac:dyDescent="0.4">
      <c r="B327" s="1" t="s">
        <v>412</v>
      </c>
      <c r="C327" t="str">
        <f t="shared" si="10"/>
        <v>Bentley Flying Spur V8</v>
      </c>
      <c r="D327">
        <f t="shared" si="11"/>
        <v>4420000</v>
      </c>
    </row>
    <row r="328" spans="2:4" ht="15" thickBot="1" x14ac:dyDescent="0.4">
      <c r="B328" s="1" t="s">
        <v>413</v>
      </c>
      <c r="C328" t="str">
        <f t="shared" si="10"/>
        <v>Maserati Quattroporte Trofeo</v>
      </c>
      <c r="D328">
        <f t="shared" si="11"/>
        <v>4500000</v>
      </c>
    </row>
    <row r="329" spans="2:4" ht="15" thickBot="1" x14ac:dyDescent="0.4">
      <c r="B329" s="1" t="s">
        <v>414</v>
      </c>
      <c r="C329" t="str">
        <f t="shared" si="10"/>
        <v>Bentley Flying Spur Hybrid</v>
      </c>
      <c r="D329">
        <f t="shared" si="11"/>
        <v>4520000</v>
      </c>
    </row>
    <row r="330" spans="2:4" ht="15" thickBot="1" x14ac:dyDescent="0.4">
      <c r="B330" s="1" t="s">
        <v>415</v>
      </c>
      <c r="C330" t="str">
        <f t="shared" si="10"/>
        <v>Bentley Continental GT V8</v>
      </c>
      <c r="D330">
        <f t="shared" si="11"/>
        <v>4590000</v>
      </c>
    </row>
    <row r="331" spans="2:4" ht="15" thickBot="1" x14ac:dyDescent="0.4">
      <c r="B331" s="1" t="s">
        <v>416</v>
      </c>
      <c r="C331" t="str">
        <f t="shared" si="10"/>
        <v>Mercedes-Maybach S680</v>
      </c>
      <c r="D331">
        <f t="shared" si="11"/>
        <v>4656157</v>
      </c>
    </row>
    <row r="332" spans="2:4" ht="15" thickBot="1" x14ac:dyDescent="0.4">
      <c r="B332" s="1" t="s">
        <v>417</v>
      </c>
      <c r="C332" t="str">
        <f t="shared" si="10"/>
        <v>Bentley Continental GTC V8</v>
      </c>
      <c r="D332">
        <f t="shared" si="11"/>
        <v>5060000</v>
      </c>
    </row>
    <row r="333" spans="2:4" ht="15" thickBot="1" x14ac:dyDescent="0.4">
      <c r="B333" s="1" t="s">
        <v>418</v>
      </c>
      <c r="C333" t="str">
        <f t="shared" si="10"/>
        <v>Bentley Flying Spur V8 S</v>
      </c>
      <c r="D333">
        <f t="shared" si="11"/>
        <v>5100000</v>
      </c>
    </row>
    <row r="334" spans="2:4" ht="15" thickBot="1" x14ac:dyDescent="0.4">
      <c r="B334" s="1" t="s">
        <v>419</v>
      </c>
      <c r="C334" t="str">
        <f t="shared" si="10"/>
        <v>Bentley Continental GT S</v>
      </c>
      <c r="D334">
        <f t="shared" si="11"/>
        <v>5150000</v>
      </c>
    </row>
    <row r="335" spans="2:4" ht="15" thickBot="1" x14ac:dyDescent="0.4">
      <c r="B335" s="1" t="s">
        <v>420</v>
      </c>
      <c r="C335" t="str">
        <f t="shared" si="10"/>
        <v>Bentley Flying Spur Hybrid Azure</v>
      </c>
      <c r="D335">
        <f t="shared" si="11"/>
        <v>5280000</v>
      </c>
    </row>
    <row r="336" spans="2:4" ht="15" thickBot="1" x14ac:dyDescent="0.4">
      <c r="B336" s="1" t="s">
        <v>421</v>
      </c>
      <c r="C336" t="str">
        <f t="shared" si="10"/>
        <v>Bentley Flying Spur V8 Azure</v>
      </c>
      <c r="D336">
        <f t="shared" si="11"/>
        <v>5320000</v>
      </c>
    </row>
    <row r="337" spans="2:4" ht="15" thickBot="1" x14ac:dyDescent="0.4">
      <c r="B337" s="1" t="s">
        <v>422</v>
      </c>
      <c r="C337" t="str">
        <f t="shared" si="10"/>
        <v>Bentley Flying Spur Speed</v>
      </c>
      <c r="D337">
        <f t="shared" si="11"/>
        <v>5440000</v>
      </c>
    </row>
    <row r="338" spans="2:4" ht="15" thickBot="1" x14ac:dyDescent="0.4">
      <c r="B338" s="1" t="s">
        <v>423</v>
      </c>
      <c r="C338" t="str">
        <f t="shared" si="10"/>
        <v>Lamborghini Huracán Tecnica</v>
      </c>
      <c r="D338">
        <f t="shared" si="11"/>
        <v>5475000</v>
      </c>
    </row>
    <row r="339" spans="2:4" ht="15" thickBot="1" x14ac:dyDescent="0.4">
      <c r="B339" s="1" t="s">
        <v>424</v>
      </c>
      <c r="C339" t="str">
        <f t="shared" si="10"/>
        <v>Bentley Continental GT Azure</v>
      </c>
      <c r="D339">
        <f t="shared" si="11"/>
        <v>5520000</v>
      </c>
    </row>
    <row r="340" spans="2:4" ht="15" thickBot="1" x14ac:dyDescent="0.4">
      <c r="B340" s="1" t="s">
        <v>425</v>
      </c>
      <c r="C340" t="str">
        <f t="shared" si="10"/>
        <v>Bentley Continental GTC S</v>
      </c>
      <c r="D340">
        <f t="shared" si="11"/>
        <v>5680000</v>
      </c>
    </row>
    <row r="341" spans="2:4" ht="15" thickBot="1" x14ac:dyDescent="0.4">
      <c r="B341" s="1" t="s">
        <v>426</v>
      </c>
      <c r="C341" t="str">
        <f t="shared" si="10"/>
        <v>Bentley Continental GT Speed</v>
      </c>
      <c r="D341">
        <f t="shared" si="11"/>
        <v>5690000</v>
      </c>
    </row>
    <row r="342" spans="2:4" ht="15" thickBot="1" x14ac:dyDescent="0.4">
      <c r="B342" s="1" t="s">
        <v>427</v>
      </c>
      <c r="C342" t="str">
        <f t="shared" si="10"/>
        <v>Bentley Continental GTC Azure</v>
      </c>
      <c r="D342">
        <f t="shared" si="11"/>
        <v>6080000</v>
      </c>
    </row>
    <row r="343" spans="2:4" ht="15" thickBot="1" x14ac:dyDescent="0.4">
      <c r="B343" s="1" t="s">
        <v>428</v>
      </c>
      <c r="C343" t="str">
        <f t="shared" si="10"/>
        <v>Bentley Continental GT V8 Mulliner</v>
      </c>
      <c r="D343">
        <f t="shared" si="11"/>
        <v>6180000</v>
      </c>
    </row>
    <row r="344" spans="2:4" ht="15" thickBot="1" x14ac:dyDescent="0.4">
      <c r="B344" s="1" t="s">
        <v>429</v>
      </c>
      <c r="C344" t="str">
        <f t="shared" si="10"/>
        <v>Bentley Continental GTC Speed</v>
      </c>
      <c r="D344">
        <f t="shared" si="11"/>
        <v>6270000</v>
      </c>
    </row>
    <row r="345" spans="2:4" ht="15" thickBot="1" x14ac:dyDescent="0.4">
      <c r="B345" s="1" t="s">
        <v>430</v>
      </c>
      <c r="C345" t="str">
        <f t="shared" si="10"/>
        <v>Bentley Flying Spur V8 Mulliner</v>
      </c>
      <c r="D345">
        <f t="shared" si="11"/>
        <v>6460000</v>
      </c>
    </row>
    <row r="346" spans="2:4" ht="15" thickBot="1" x14ac:dyDescent="0.4">
      <c r="B346" s="1" t="s">
        <v>431</v>
      </c>
      <c r="C346" t="str">
        <f t="shared" si="10"/>
        <v>Bentley Flying Spur Hybrid Mulliner</v>
      </c>
      <c r="D346">
        <f t="shared" si="11"/>
        <v>6560000</v>
      </c>
    </row>
    <row r="347" spans="2:4" ht="15" thickBot="1" x14ac:dyDescent="0.4">
      <c r="B347" s="1" t="s">
        <v>432</v>
      </c>
      <c r="C347" t="str">
        <f t="shared" si="10"/>
        <v>Bentley Continental GTC V8 Mulliner</v>
      </c>
      <c r="D347">
        <f t="shared" si="11"/>
        <v>6690000</v>
      </c>
    </row>
    <row r="348" spans="2:4" ht="15" thickBot="1" x14ac:dyDescent="0.4">
      <c r="B348" s="1" t="s">
        <v>433</v>
      </c>
      <c r="C348" t="str">
        <f t="shared" si="10"/>
        <v>Bentley Flying Spur W12 Mulliner</v>
      </c>
      <c r="D348">
        <f t="shared" si="11"/>
        <v>6700000</v>
      </c>
    </row>
    <row r="349" spans="2:4" ht="15" thickBot="1" x14ac:dyDescent="0.4">
      <c r="B349" s="1" t="s">
        <v>434</v>
      </c>
      <c r="C349" t="str">
        <f t="shared" si="10"/>
        <v>Maserati MC20 Coupé</v>
      </c>
      <c r="D349">
        <f t="shared" si="11"/>
        <v>6750000</v>
      </c>
    </row>
    <row r="350" spans="2:4" ht="15" thickBot="1" x14ac:dyDescent="0.4">
      <c r="B350" s="1" t="s">
        <v>435</v>
      </c>
      <c r="C350" t="str">
        <f t="shared" si="10"/>
        <v>Bentley Continental GT W12 Mulliner</v>
      </c>
      <c r="D350">
        <f t="shared" si="11"/>
        <v>6770000</v>
      </c>
    </row>
    <row r="351" spans="2:4" ht="15" thickBot="1" x14ac:dyDescent="0.4">
      <c r="B351" s="1" t="s">
        <v>436</v>
      </c>
      <c r="C351" t="str">
        <f t="shared" si="10"/>
        <v>Ferrari 296 GTB</v>
      </c>
      <c r="D351">
        <f t="shared" si="11"/>
        <v>6804200</v>
      </c>
    </row>
    <row r="352" spans="2:4" ht="15" thickBot="1" x14ac:dyDescent="0.4">
      <c r="B352" s="1" t="s">
        <v>437</v>
      </c>
      <c r="C352" t="str">
        <f t="shared" si="10"/>
        <v>Bentley Continental GTC W12 Mulliner</v>
      </c>
      <c r="D352">
        <f t="shared" si="11"/>
        <v>7460000</v>
      </c>
    </row>
    <row r="353" spans="2:4" ht="15" thickBot="1" x14ac:dyDescent="0.4">
      <c r="B353" s="1" t="s">
        <v>438</v>
      </c>
      <c r="C353" t="str">
        <f t="shared" si="10"/>
        <v>Ferrari 296 GTS</v>
      </c>
      <c r="D353">
        <f t="shared" si="11"/>
        <v>7494800</v>
      </c>
    </row>
    <row r="354" spans="2:4" ht="15" thickBot="1" x14ac:dyDescent="0.4">
      <c r="B354" s="1" t="s">
        <v>439</v>
      </c>
      <c r="C354" t="str">
        <f t="shared" si="10"/>
        <v>Lamborghini Huracán STO</v>
      </c>
      <c r="D354">
        <f t="shared" si="11"/>
        <v>8275000</v>
      </c>
    </row>
  </sheetData>
  <hyperlinks>
    <hyperlink ref="B2" r:id="rId1" display="https://www.carmag.co.za/car-price-guide-view/suzuki-s-presso-1-0-gl/U3V6dWtpIFMtUHJlc3NvIDEuMCBHTA==/?price=176900" xr:uid="{44E6E237-0CC9-4D68-B2D0-60C04F8839FE}"/>
    <hyperlink ref="B3" r:id="rId2" display="https://www.carmag.co.za/car-price-guide-view/suzuki-s-presso-1-0-gl/U3V6dWtpIFMtUHJlc3NvIDEuMCBHTCs=/?price=183900" xr:uid="{20639E12-DA17-4039-82E1-F8F92C6369F7}"/>
    <hyperlink ref="B4" r:id="rId3" display="https://www.carmag.co.za/car-price-guide-view/suzuki-s-presso-1-0-s-edition/U3V6dWtpIFMtUHJlc3NvIDEuMCBTLUVkaXRpb24=/?price=199900" xr:uid="{DF548B53-F17C-4C79-AE16-6FB137106DD7}"/>
    <hyperlink ref="B5" r:id="rId4" display="https://www.carmag.co.za/car-price-guide-view/renault-kwid-1-0-zen/UmVuYXVsdCBLd2lkIDEuMCBaZW4=/?price=200999" xr:uid="{428F7F66-F58C-41B3-B1B8-A2151A6445B2}"/>
    <hyperlink ref="B6" r:id="rId5" display="https://www.carmag.co.za/car-price-guide-view/hyundai-atos-1-1-motion/SHl1bmRhaSBBdG9zIDEuMSBNb3Rpb24=/?price=209900" xr:uid="{B3980AB1-5A6E-42AF-861E-C91037C07694}"/>
    <hyperlink ref="B7" r:id="rId6" display="https://www.carmag.co.za/car-price-guide-view/renault-kwid-1-0-climber/UmVuYXVsdCBLd2lkIDEuMCBDbGltYmVy/?price=211999" xr:uid="{A806E4BE-CDC7-4B9C-AF3B-F6744C81F72A}"/>
    <hyperlink ref="B8" r:id="rId7" display="https://www.carmag.co.za/car-price-guide-view/suzuki-celerio-1-0-gl/U3V6dWtpIENlbGVyaW8gMS4wIEdM/?price=213900" xr:uid="{07885F25-7E55-4CA3-9BCD-3A3D9414CCBB}"/>
    <hyperlink ref="B9" r:id="rId8" display="https://www.carmag.co.za/car-price-guide-view/toyota-agya-1-0/VG95b3RhIEFneWEgMS4w/?price=215600" xr:uid="{1B670A26-B9EE-4BA2-98BF-48B2A5253368}"/>
    <hyperlink ref="B10" r:id="rId9" display="https://www.carmag.co.za/car-price-guide-view/kia-picanto-1-0-start/S2lhIFBpY2FudG8gMS4wIFN0YXJ0/?price=223995" xr:uid="{5479C76F-8AF8-40E7-AD9E-04552B9FE372}"/>
    <hyperlink ref="B11" r:id="rId10" display="https://www.carmag.co.za/car-price-guide-view/suzuki-dzire-1-2-gl/U3V6dWtpIERaaXJlIDEuMiBHTA==/?price=226900" xr:uid="{016F1323-711B-4AEE-9708-D69DEBD98804}"/>
    <hyperlink ref="B12" r:id="rId11" display="https://www.carmag.co.za/car-price-guide-view/suzuki-swift-1-2-gl/U3V6dWtpIFN3aWZ0IDEuMiBHTA==/?price=227900" xr:uid="{37CD0BE5-1BEF-40C7-9BBE-21EE3F200D4B}"/>
    <hyperlink ref="B13" r:id="rId12" display="https://www.carmag.co.za/car-price-guide-view/kia-picanto-1-0-street/S2lhIFBpY2FudG8gMS4wIFN0cmVldA==/?price=237995" xr:uid="{472E38FC-BADC-4E59-BEBF-828E5B0BD01C}"/>
    <hyperlink ref="B14" r:id="rId13" display="https://www.carmag.co.za/car-price-guide-view/hyundai-grand-i10-1-0-motion/SHl1bmRhaSBHcmFuZCBpMTAgMS4wIE1vdGlvbg==/?price=242900" xr:uid="{A10DB915-FEE6-4F3D-8060-E56385F19063}"/>
    <hyperlink ref="B15" r:id="rId14" display="https://www.carmag.co.za/car-price-guide-view/kia-picanto-1-2-street/S2lhIFBpY2FudG8gMS4yIFN0cmVldA==/?price=246995" xr:uid="{50048CE7-C73E-49D8-8975-91562276769F}"/>
    <hyperlink ref="B16" r:id="rId15" display="https://www.carmag.co.za/car-price-guide-view/kia-picanto-1-0-style/S2lhIFBpY2FudG8gMS4wIFN0eWxl/?price=247995" xr:uid="{92601AEB-B67A-46FF-834E-1B733BF990BC}"/>
    <hyperlink ref="B17" r:id="rId16" display="https://www.carmag.co.za/car-price-guide-view/suzuki-swift-1-2-glx/U3V6dWtpIFN3aWZ0IDEuMiBHTFg=/?price=248900" xr:uid="{03263942-98AA-4314-947E-D58552F7DD88}"/>
    <hyperlink ref="B18" r:id="rId17" display="https://www.carmag.co.za/car-price-guide-view/fiat-500-twinair-cult/RmlhdCA1MDAgVHdpbkFpciBDdWx0/?price=249900" xr:uid="{85580944-75DD-41E8-9FD8-4E50704E6B14}"/>
    <hyperlink ref="B19" r:id="rId18" display="https://www.carmag.co.za/car-price-guide-view/suzuki-baleno-1-5-gl/U3V6dWtpIEJhbGVubyAxLjUgR0w=/?price=251900" xr:uid="{FCB3CC57-7A09-429F-8C28-6CE84D210617}"/>
    <hyperlink ref="B20" r:id="rId19" display="https://www.carmag.co.za/car-price-guide-view/kia-picanto-1-2-style/S2lhIFBpY2FudG8gMS4yIFN0eWxl/?price=256995" xr:uid="{EFF3CE77-5713-43F7-8A9F-6388B2097E9D}"/>
    <hyperlink ref="B21" r:id="rId20" display="https://www.carmag.co.za/car-price-guide-view/honda-amaze-1-2-comfort/SG9uZGEgQW1hemUgMS4yIENvbWZvcnQ=/?price=266800" xr:uid="{00982883-769F-4D8E-BBF4-F86A560EFD72}"/>
    <hyperlink ref="B22" r:id="rId21" display="https://www.carmag.co.za/car-price-guide-view/toyota-starlet-1-5-xs/VG95b3RhIFN0YXJsZXQgMS41IFhT/?price=268900" xr:uid="{76959225-30E9-4CB5-9B33-DB19725ED410}"/>
    <hyperlink ref="B23" r:id="rId22" display="https://www.carmag.co.za/car-price-guide-view/suzuki-ciaz-1-5-gl/U3V6dWtpIENpYXogMS41IEdM/?price=273900" xr:uid="{1D2901EB-AC47-4911-B1AB-E81986108537}"/>
    <hyperlink ref="B24" r:id="rId23" display="https://www.carmag.co.za/car-price-guide-view/kia-picanto-1-2-x-line/S2lhIFBpY2FudG8gMS4yIFgtTGluZQ==/?price=273995" xr:uid="{DA6FE8C6-264B-4B7C-8308-50512F224E18}"/>
    <hyperlink ref="B25" r:id="rId24" display="https://www.carmag.co.za/car-price-guide-view/kia-pegas-1-4-ex/S2lhIFBlZ2FzIDEuNCBFWA==/?price=280995" xr:uid="{8480D6B7-28C1-492F-B124-0AF24CDAFB9D}"/>
    <hyperlink ref="B26" r:id="rId25" display="https://www.carmag.co.za/car-price-guide-view/fiat-500-twinair-club/RmlhdCA1MDAgVHdpbkFpciBDbHVi/?price=289900" xr:uid="{D9FDAC1D-3845-4F64-B24B-E1D3111AFD45}"/>
    <hyperlink ref="B27" r:id="rId26" display="https://www.carmag.co.za/car-price-guide-view/hyundai-grand-i10-1-2-fluid/SHl1bmRhaSBHcmFuZCBpMTAgMS4yIEZsdWlk/?price=291900" xr:uid="{76A927A0-6DCF-409A-B5FF-66FCC30EB7F4}"/>
    <hyperlink ref="B28" r:id="rId27" display="https://www.carmag.co.za/car-price-guide-view/volkswagen-polo-vivo-1-6-comfortline/Vm9sa3N3YWdlbiBQb2xvIFZpdm8gMS42IENvbWZvcnRsaW5l/?price=296600" xr:uid="{27CFD804-937E-497A-804D-837F6F7D3B3C}"/>
    <hyperlink ref="B29" r:id="rId28" display="https://www.carmag.co.za/car-price-guide-view/suzuki-baleno-1-5-glx/U3V6dWtpIEJhbGVubyAxLjUgR0xY/?price=301900" xr:uid="{DF688CA0-6D42-4B3E-AD47-57C81E4B3294}"/>
    <hyperlink ref="B30" r:id="rId29" display="https://www.carmag.co.za/car-price-guide-view/nissan-almera-1-5-acenta/Tmlzc2FuIEFsbWVyYSAxLjUgQWNlbnRh/?price=310000" xr:uid="{D458B422-1140-4589-8113-6962ACFCC37A}"/>
    <hyperlink ref="B31" r:id="rId30" display="https://www.carmag.co.za/car-price-guide-view/suzuki-ciaz-1-5-glx/U3V6dWtpIENpYXogMS41IEdMWA==/?price=311900" xr:uid="{ED58FEE1-74DC-4594-B6A1-C7BD1D42456C}"/>
    <hyperlink ref="B32" r:id="rId31" display="https://www.carmag.co.za/car-price-guide-view/toyota-starlet-1-5-xr/VG95b3RhIFN0YXJsZXQgMS41IFhS/?price=313300" xr:uid="{E2457F7A-7374-49B6-9955-CB8BC6E59543}"/>
    <hyperlink ref="B33" r:id="rId32" display="https://www.carmag.co.za/car-price-guide-view/fiat-500-twinair-dolcevita/RmlhdCA1MDAgVHdpbkFpciBEb2xjZXZpdGE=/?price=322900" xr:uid="{6B2DC416-B8BF-4CB4-B14D-7B2A2698DC1C}"/>
    <hyperlink ref="B34" r:id="rId33" display="https://www.carmag.co.za/car-price-guide-view/toyota-corolla-quest-1-8-plus/VG95b3RhIENvcm9sbGEgUXVlc3QgMS44IFBsdXM=/?price=329000" xr:uid="{64EB9C76-5B53-4E4F-AA93-A54A2562649B}"/>
    <hyperlink ref="B35" r:id="rId34" display="https://www.carmag.co.za/car-price-guide-view/kia-rio-1-4-ls/S2lhIFJpbyAxLjQgTFM=/?price=330995" xr:uid="{5BF18FCB-E77E-4462-93DB-A3BE149F9999}"/>
    <hyperlink ref="B36" r:id="rId35" display="https://www.carmag.co.za/car-price-guide-view/hyundai-i20-1-4-motion/SHl1bmRhaSBpMjAgMS40IE1vdGlvbg==/?price=336900" xr:uid="{2549A76B-4DA0-4310-8159-7967AE2CB380}"/>
    <hyperlink ref="B37" r:id="rId36" display="https://www.carmag.co.za/car-price-guide-view/kia-rio-1-4-lx/S2lhIFJpbyAxLjQgTFg=/?price=345995" xr:uid="{ECAFF012-A4BC-4A59-B0FF-514E28D6C74B}"/>
    <hyperlink ref="B38" r:id="rId37" display="https://www.carmag.co.za/car-price-guide-view/honda-fit-1-5-comfort/SG9uZGEgRml0IDEuNSBDb21mb3J0/?price=347500" xr:uid="{EAF3235E-E4AE-473F-AEC3-2D08029D5318}"/>
    <hyperlink ref="B39" r:id="rId38" display="https://www.carmag.co.za/car-price-guide-view/mazda-mazda2-1-5-dynamic/TWF6ZGEgTWF6ZGEyIDEuNSBEeW5hbWlj/?price=349100" xr:uid="{CF9D2A73-654E-4DEB-AB4B-7BCF8F3377FE}"/>
    <hyperlink ref="B40" r:id="rId39" display="https://www.carmag.co.za/car-price-guide-view/kia-rio-1-4-ex/S2lhIFJpbyAxLjQgRVg=/?price=358995" xr:uid="{DC2E1652-F5AC-40C4-9EBA-D5B89488803D}"/>
    <hyperlink ref="B41" r:id="rId40" display="https://www.carmag.co.za/car-price-guide-view/fiat-500-500c-twinair-dolcevita/RmlhdCA1MDAgNTAwQyBUd2luQWlyIERvbGNldml0YQ==/?price=359900" xr:uid="{15F27790-6174-4B24-B7D7-EC8A15A04485}"/>
    <hyperlink ref="B42" r:id="rId41" display="https://www.carmag.co.za/car-price-guide-view/toyota-corolla-quest-1-8-prestige/VG95b3RhIENvcm9sbGEgUXVlc3QgMS44IFByZXN0aWdl/?price=360600" xr:uid="{C80860CF-C15B-43E5-8D80-81DF1E276C98}"/>
    <hyperlink ref="B43" r:id="rId42" display="https://www.carmag.co.za/car-price-guide-view/honda-ballade-1-5-comfort/SG9uZGEgQmFsbGFkZSAxLjUgQ29tZm9ydA==/?price=374000" xr:uid="{E96689D3-AD53-41E5-9198-B9E00FF8A78C}"/>
    <hyperlink ref="B44" r:id="rId43" display="https://www.carmag.co.za/car-price-guide-view/citroen-c3-1-2t-shine/Q2l0cm/Dq24gQzMgMS4yVCBTaGluZQ==/?price=374900" xr:uid="{ECF7B02E-3F7B-4AC6-BCD4-A301C26F4B59}"/>
    <hyperlink ref="B45" r:id="rId44" display="https://www.carmag.co.za/car-price-guide-view/mazda-mazda2-1-5-individual/TWF6ZGEgTWF6ZGEyIDEuNSBJbmRpdmlkdWFs/?price=379500" xr:uid="{67352BB3-D3A3-4800-89F5-F4039C961607}"/>
    <hyperlink ref="B46" r:id="rId45" display="https://www.carmag.co.za/car-price-guide-view/toyota-corolla-quest-1-8-exclusive/VG95b3RhIENvcm9sbGEgUXVlc3QgMS44IEV4Y2x1c2l2ZQ==/?price=379600" xr:uid="{979DB7BC-E763-47E1-908D-2507A3270A1B}"/>
    <hyperlink ref="B47" r:id="rId46" display="https://www.carmag.co.za/car-price-guide-view/volkswagen-polo-sedan-1-6-life/Vm9sa3N3YWdlbiBQb2xvIFNlZGFuIDEuNiBMaWZl/?price=381700" xr:uid="{51428885-1CD5-4998-A074-D0341916E90C}"/>
    <hyperlink ref="B48" r:id="rId47" display="https://www.carmag.co.za/car-price-guide-view/kia-rio-1-4-tec/S2lhIFJpbyAxLjQgVGVj/?price=383995" xr:uid="{C6F7D7D1-5E78-4DBE-9FE4-7D7D2D0F6275}"/>
    <hyperlink ref="B49" r:id="rId48" display="https://www.carmag.co.za/car-price-guide-view/honda-fit-1-5-elegance/SG9uZGEgRml0IDEuNSBFbGVnYW5jZQ==/?price=391000" xr:uid="{B64AFCE2-F3C4-4085-B00A-CC4204FF2C69}"/>
    <hyperlink ref="B50" r:id="rId49" display="https://www.carmag.co.za/car-price-guide-view/hyundai-i20-1-0t-fluid/SHl1bmRhaSBpMjAgMS4wVCBGbHVpZA==/?price=394900" xr:uid="{5246D7A6-3B82-4ED1-9A63-BE655B3740FF}"/>
    <hyperlink ref="B51" r:id="rId50" display="https://www.carmag.co.za/car-price-guide-view/volkswagen-polo-hatch-1-0tsi-85kw-life/Vm9sa3N3YWdlbiBQb2xvIEhhdGNoIDEuMFRTSSA4NWtXIExpZmU=/?price=397500" xr:uid="{81AB4D56-F61C-4774-A8A2-BBF3EF3652B6}"/>
    <hyperlink ref="B52" r:id="rId51" display="https://www.carmag.co.za/car-price-guide-view/mazda-mazda2-1-5-hazumi/TWF6ZGEgTWF6ZGEyIDEuNSBIYXp1bWk=/?price=407400" xr:uid="{1428769B-0EFD-4414-BC6C-8238F7A5BC27}"/>
    <hyperlink ref="B53" r:id="rId52" display="https://www.carmag.co.za/car-price-guide-view/honda-ballade-1-5-elegance/SG9uZGEgQmFsbGFkZSAxLjUgRWxlZ2FuY2U=/?price=407700" xr:uid="{BD9F7432-E434-486B-B125-80C0FCDC941C}"/>
    <hyperlink ref="B54" r:id="rId53" display="https://www.carmag.co.za/car-price-guide-view/suzuki-swift-1-4t-sport/U3V6dWtpIFN3aWZ0IDEuNFQgU3BvcnQ=/?price=415900" xr:uid="{0C975B37-E827-4392-B7F9-17F53833C247}"/>
    <hyperlink ref="B55" r:id="rId54" display="https://www.carmag.co.za/car-price-guide-view/peugeot-208-1-2t-allure/UGV1Z2VvdCAyMDggMS4yVCBBbGx1cmU=/?price=419900" xr:uid="{5E03AB57-CE7C-4FDE-BFBD-E3BA117DD51B}"/>
    <hyperlink ref="B56" r:id="rId55" display="https://www.carmag.co.za/car-price-guide-view/honda-fit-1-5-executive/SG9uZGEgRml0IDEuNSBFeGVjdXRpdmU=/?price=423500" xr:uid="{4BA92AA1-6415-4582-9166-80C281A9D496}"/>
    <hyperlink ref="B57" r:id="rId56" display="https://www.carmag.co.za/car-price-guide-view/hyundai-i20-1-0t-n-line/SHl1bmRhaSBpMjAgMS4wVCBOIExpbmU=/?price=428900" xr:uid="{B14712AD-3E52-4D2D-ADE3-1F2559956376}"/>
    <hyperlink ref="B58" r:id="rId57" display="https://www.carmag.co.za/car-price-guide-view/opel-corsa-1-2t-elegance/T3BlbCBDb3JzYSAxLjJUIEVsZWdhbmNl/?price=436900" xr:uid="{5A8B20B6-A6A1-4F1E-9F76-858210E18889}"/>
    <hyperlink ref="B59" r:id="rId58" display="https://www.carmag.co.za/car-price-guide-view/honda-ballade-1-5-rs/SG9uZGEgQmFsbGFkZSAxLjUgUlM=/?price=440900" xr:uid="{0096E5B5-B95E-4824-934F-69B57211C11F}"/>
    <hyperlink ref="B60" r:id="rId59" display="https://www.carmag.co.za/car-price-guide-view/volkswagen-polo-hatch-1-0tsi-85kw-r-line/Vm9sa3N3YWdlbiBQb2xvIGhhdGNoIDEuMFRTSSA4NWtXIFItTGluZQ==/?price=445500" xr:uid="{62C355EC-88B7-4E06-9A33-64339A43D030}"/>
    <hyperlink ref="B61" r:id="rId60" display="https://www.carmag.co.za/car-price-guide-view/fiat-tipo-hatch-1-6-city-life/RmlhdCBUaXBvIEhhdGNoIDEuNiBDaXR5IExpZmU=/?price=451900" xr:uid="{28648A5E-D3CF-48F5-AB59-37B3A48FCF6E}"/>
    <hyperlink ref="B62" r:id="rId61" display="https://www.carmag.co.za/car-price-guide-view/mazda-mazda3-hatch-1-5-dynamic/TWF6ZGEgTWF6ZGEzIEhhdGNoIDEuNSBEeW5hbWlj/?price=453300" xr:uid="{6B6D0F87-6619-41C3-A48F-45E693C05008}"/>
    <hyperlink ref="B63" r:id="rId62" display="https://www.carmag.co.za/car-price-guide-view/mini-one-hatch-3-door/TUlOSSBPbmUgSGF0Y2ggMy1kb29y/?price=453707" xr:uid="{C51FDFC7-1080-45B6-BFEB-546D8354A485}"/>
    <hyperlink ref="B64" r:id="rId63" display="https://www.carmag.co.za/car-price-guide-view/peugeot-208-1-2t-gt/UGV1Z2VvdCAyMDggMS4yVCBHVA==/?price=459900" xr:uid="{69444D01-3E03-45DD-BF70-5742BF01FA16}"/>
    <hyperlink ref="B65" r:id="rId64" display="https://www.carmag.co.za/car-price-guide-view/mini-one-hatch-5-door/TUlOSSBPbmUgSGF0Y2ggNS1kb29y/?price=464975" xr:uid="{C28DF428-703F-4D17-BA60-5A8D0562D073}"/>
    <hyperlink ref="B66" r:id="rId65" display="https://www.carmag.co.za/car-price-guide-view/audi-a1-sportback-30tfsi/QXVkaSBBMSBTcG9ydGJhY2sgMzBURlNJ/?price=467300" xr:uid="{F79CCB8C-B058-4AB9-BB64-6A44C8AFB995}"/>
    <hyperlink ref="B67" r:id="rId66" display="https://www.carmag.co.za/car-price-guide-view/fiat-tipo-sedan-1-6-city-life/RmlhdCBUaXBvIFNlZGFuIDEuNiBDaXR5IExpZmU=/?price=469900" xr:uid="{55D04B3F-DD70-4A59-94F6-5DD1DD87CC47}"/>
    <hyperlink ref="B68" r:id="rId67" display="https://www.carmag.co.za/car-price-guide-view/audi-a1-sportback-30tfsi-s-line/QXVkaSBBMSBTcG9ydGJhY2sgMzBURlNJIFMgbGluZQ==/?price=489800" xr:uid="{713F35BC-B7D7-49B0-9F29-DD51F359F29F}"/>
    <hyperlink ref="B69" r:id="rId68" display="https://www.carmag.co.za/car-price-guide-view/fiat-tipo-hatch-1-6-life/RmlhdCBUaXBvIEhhdGNoIDEuNiBMaWZl/?price=489900" xr:uid="{D7AEE08E-BD8A-42AC-8944-DB760B1E01D9}"/>
    <hyperlink ref="B70" r:id="rId69" display="https://www.carmag.co.za/car-price-guide-view/toyota-corolla-hatch-1-8-hybrid-xs/VG95b3RhIENvcm9sbGEgSGF0Y2ggMS44IEh5YnJpZCBYUw==/?price=500700" xr:uid="{1E59D1BE-32B6-4FD4-846C-50D8D7268418}"/>
    <hyperlink ref="B71" r:id="rId70" display="https://www.carmag.co.za/car-price-guide-view/mazda-mazda3-hatch-1-5-individual/TWF6ZGEgTWF6ZGEzIEhhdGNoIDEuNSBJbmRpdmlkdWFs/?price=508800" xr:uid="{B65CD82F-D6E7-47CC-927B-8B58D7C0152E}"/>
    <hyperlink ref="B72" r:id="rId71" display="https://www.carmag.co.za/car-price-guide-view/honda-fit-hybrid/SG9uZGEgRml0IEh5YnJpZA==/?price=509600" xr:uid="{C415F4EB-E0E6-41E4-8B44-FC04EAC95517}"/>
    <hyperlink ref="B73" r:id="rId72" display="https://www.carmag.co.za/car-price-guide-view/toyota-corolla-1-8-hybrid-xs/VG95b3RhIENvcm9sbGEgMS44IEh5YnJpZCBYUw==/?price=512700" xr:uid="{AC64139C-EE57-4928-9B9A-B0EA19D3AC40}"/>
    <hyperlink ref="B74" r:id="rId73" display="https://www.carmag.co.za/car-price-guide-view/volkswagen-polo-gti/Vm9sa3N3YWdlbiBQb2xvIEdUSQ==/?price=522500" xr:uid="{0BF2E995-D810-43AC-B30E-8892470DD794}"/>
    <hyperlink ref="B75" r:id="rId74" display="https://www.carmag.co.za/car-price-guide-view/toyota-corolla-2-0-xr/VG95b3RhIENvcm9sbGEgMi4wIFhS/?price=527400" xr:uid="{61C8F7FB-9622-449D-8168-C54757487BA3}"/>
    <hyperlink ref="B76" r:id="rId75" display="https://www.carmag.co.za/car-price-guide-view/audi-a1-sportback-35tfsi/QXVkaSBBMSBTcG9ydGJhY2sgMzVURlNJ/?price=527900" xr:uid="{4CD565B0-7360-4D58-B752-C24B4C197227}"/>
    <hyperlink ref="B77" r:id="rId76" display="https://www.carmag.co.za/car-price-guide-view/toyota-corolla-hatch-2-0-xr/VG95b3RhIENvcm9sbGEgSGF0Y2ggMi4wIFhS/?price=529000" xr:uid="{DCAC142D-6DCB-4AB0-B71F-363C5307341E}"/>
    <hyperlink ref="B78" r:id="rId77" display="https://www.carmag.co.za/car-price-guide-view/toyota-corolla-1-8-hybrid-xr/VG95b3RhIENvcm9sbGEgMS44IEh5YnJpZCBYUg==/?price=532200" xr:uid="{573DDA7B-83E5-43CA-A6B6-C4F7E27C7C01}"/>
    <hyperlink ref="B79" r:id="rId78" display="https://www.carmag.co.za/car-price-guide-view/mini-cooper-hatch-3-door/TUlOSSBDb29wZXIgSGF0Y2ggMy1kb29y/?price=534873" xr:uid="{01D6F804-A294-4181-814F-5FFE1F503BDC}"/>
    <hyperlink ref="B80" r:id="rId79" display="https://www.carmag.co.za/car-price-guide-view/toyota-corolla-hatch-1-8-hybrid-xr/VG95b3RhIENvcm9sbGEgSGF0Y2ggMS44IEh5YnJpZCBYUg==/?price=539000" xr:uid="{7930D005-2DE0-49EF-B164-91E7D9A2ECD0}"/>
    <hyperlink ref="B81" r:id="rId80" display="https://www.carmag.co.za/car-price-guide-view/mini-cooper-hatch-5-door/TUlOSSBDb29wZXIgSGF0Y2ggNS1kb29y/?price=546220" xr:uid="{3D17BC81-0C01-454C-96BF-7E06A5F6F319}"/>
    <hyperlink ref="B82" r:id="rId81" display="https://www.carmag.co.za/car-price-guide-view/audi-a1-sportback-35tfsi-s-line/QXVkaSBBMSBTcG9ydGJhY2sgMzVURlNJIFMgbGluZQ==/?price=550400" xr:uid="{AE969BDD-3ADD-4B2A-B00A-A456C7C4D5F0}"/>
    <hyperlink ref="B83" r:id="rId82" display="https://www.carmag.co.za/car-price-guide-view/mazda-mazda3-hatch-2-0-astina/TWF6ZGEgTWF6ZGEzIEhhdGNoIDIuMCBBc3RpbmE=/?price=554500" xr:uid="{44C1F542-2588-4620-B892-42E603D85234}"/>
    <hyperlink ref="B84" r:id="rId83" display="https://www.carmag.co.za/car-price-guide-view/audi-a1-sportback-40tfsi-s-line/QXVkaSBBMSBTcG9ydGJhY2sgNDBURlNJIFMgbGluZQ==/?price=576200" xr:uid="{0A93D187-E330-4D2C-8942-0C98EEF24515}"/>
    <hyperlink ref="B85" r:id="rId84" display="https://www.carmag.co.za/car-price-guide-view/mini-cooper-s-hatch-3-door/TUlOSSBDb29wZXIgUyBIYXRjaCAzLWRvb3I=/?price=615162" xr:uid="{7A144C2C-1527-46E6-8C53-A08E68103D11}"/>
    <hyperlink ref="B86" r:id="rId85" display="https://www.carmag.co.za/car-price-guide-view/audi-a3-sportback-35tfsi/QXVkaSBBMyBTcG9ydGJhY2sgMzVURlNJ/?price=622800" xr:uid="{1B82845A-8743-4552-BC85-A5FB80E7602B}"/>
    <hyperlink ref="B87" r:id="rId86" display="https://www.carmag.co.za/car-price-guide-view/mini-cooper-s-hatch-3-door-resolute-edition/TUlOSSBDb29wZXIgUyBIYXRjaCAzLWRvb3IgUmVzb2x1dGUgRWRpdGlvbg==/?price=624662" xr:uid="{999BDB5B-EB6B-4788-808A-0C60D0CE6FF2}"/>
    <hyperlink ref="B88" r:id="rId87" display="https://www.carmag.co.za/car-price-guide-view/mini-cooper-s-hatch-5-door/TUlOSSBDb29wZXIgUyBIYXRjaCA1LWRvb3I=/?price=626053" xr:uid="{7FE22EFB-D5FC-4ECC-8EA7-6610EF64EED2}"/>
    <hyperlink ref="B89" r:id="rId88" display="https://www.carmag.co.za/car-price-guide-view/mini-cooper-s-hatch-5-door-resolute-edition/TUlOSSBDb29wZXIgUyBIYXRjaCA1LWRvb3IgUmVzb2x1dGUgRWRpdGlvbg==/?price=635553" xr:uid="{96B60EE5-5B3B-4BB8-B1D4-9A0B157CE3ED}"/>
    <hyperlink ref="B90" r:id="rId89" display="https://www.carmag.co.za/car-price-guide-view/audi-a3-sedan-35tfsi/QXVkaSBBMyBTZWRhbiAzNVRGU0k=/?price=637800" xr:uid="{6E5E8A10-5FE6-45F8-BEF8-C0D1F8B28854}"/>
    <hyperlink ref="B91" r:id="rId90" display="https://www.carmag.co.za/car-price-guide-view/bmw-118i/Qk1XIDExOGk=/?price=641072" xr:uid="{D5ADD5E7-3A8D-4C26-B728-2AFCC8677D05}"/>
    <hyperlink ref="B92" r:id="rId91" display="https://www.carmag.co.za/car-price-guide-view/mini-cooper-convertible/TUlOSSBDb29wZXIgQ29udmVydGlibGU=/?price=641661" xr:uid="{9A08E434-457C-479B-9CF6-6CE1202D609A}"/>
    <hyperlink ref="B93" r:id="rId92" display="https://www.carmag.co.za/car-price-guide-view/audi-a3-sportback-35tfsi-s-line/QXVkaSBBMyBTcG9ydGJhY2sgMzVURlNJIFMgbGluZQ==/?price=662800" xr:uid="{7CFF51B0-1A8F-4BEC-91FF-CE7F5368EFEB}"/>
    <hyperlink ref="B94" r:id="rId93" display="https://www.carmag.co.za/car-price-guide-view/bmw-118i-m-sport/Qk1XIDExOGkgTSBTcG9ydA==/?price=676772" xr:uid="{25600EB6-371F-42DD-B5F3-F5F42CC8E0F4}"/>
    <hyperlink ref="B95" r:id="rId94" display="https://www.carmag.co.za/car-price-guide-view/audi-a3-sedan-35tfsi-s-line/QXVkaSBBMyBTZWRhbiAzNVRGU0kgUyBsaW5l/?price=677800" xr:uid="{9DFDC4F0-8009-45D2-8394-F82359173D82}"/>
    <hyperlink ref="B96" r:id="rId95" display="https://www.carmag.co.za/car-price-guide-view/bmw-118d/Qk1XIDExOGQ=/?price=679250" xr:uid="{EB323DA5-A70B-4A79-976A-3ACC8C04753A}"/>
    <hyperlink ref="B97" r:id="rId96" display="https://www.carmag.co.za/car-price-guide-view/honda-civic-sedan-1-5t-rs/SG9uZGEgQ2l2aWMgU2VkYW4gMS41VCBSUw==/?price=689100" xr:uid="{2BE6BD3E-E15B-42C7-A3DD-0862B8DBCEFE}"/>
    <hyperlink ref="B98" r:id="rId97" display="https://www.carmag.co.za/car-price-guide-view/bmw-218i-gran-coupe/Qk1XIDIxOGkgR3JhbiBDb3Vww6k=/?price=691072" xr:uid="{73AB8498-24A7-4221-A328-4872DDB34334}"/>
    <hyperlink ref="B99" r:id="rId98" display="https://www.carmag.co.za/car-price-guide-view/audi-a3-sportback-40tfsi-s-line/QXVkaSBBMyBTcG9ydGJhY2sgNDBURlNJIFMgbGluZQ==/?price=710600" xr:uid="{C8E81F7F-3DD3-43AA-9BA7-FFF3C2BFE95A}"/>
    <hyperlink ref="B100" r:id="rId99" display="https://www.carmag.co.za/car-price-guide-view/bmw-118d-m-sport/Qk1XIDExOGQgTSBTcG9ydA==/?price=714950" xr:uid="{9EF7E3AA-EA7F-44F9-A4AD-87C63233F1FA}"/>
    <hyperlink ref="B101" r:id="rId100" display="https://www.carmag.co.za/car-price-guide-view/mini-john-cooper-works-hatch-3-door/TUlOSSBKb2huIENvb3BlciBXb3JrcyBIYXRjaCAzLWRvb3I=/?price=719464" xr:uid="{2419953C-59E4-44B3-BFA0-134DFEC8090C}"/>
    <hyperlink ref="B102" r:id="rId101" display="https://www.carmag.co.za/car-price-guide-view/audi-a3-sedan-40tfsi-s-line/QXVkaSBBMyBTZWRhbiA0MFRGU0kgUyBsaW5l/?price=725600" xr:uid="{FA29F6F2-4F93-4494-A63D-A92A3A276E83}"/>
    <hyperlink ref="B103" r:id="rId102" display="https://www.carmag.co.za/car-price-guide-view/bmw-218i-gran-coupe-m-sport/Qk1XIDIxOGkgR3JhbiBDb3Vww6kgTSBTcG9ydA==/?price=726772" xr:uid="{69D856FF-4AD1-4E09-B6A3-26766BA5F284}"/>
    <hyperlink ref="B104" r:id="rId103" display="https://www.carmag.co.za/car-price-guide-view/volkswagen-golf-gti-jacara-edition/Vm9sa3N3YWdlbiBHb2xmIEdUSSBKYWNhcmEgRWRpdGlvbg==/?price=727500" xr:uid="{7DA22F73-E99D-46CC-BDD3-95CED580259D}"/>
    <hyperlink ref="B105" r:id="rId104" display="https://www.carmag.co.za/car-price-guide-view/mercedes-benz-a200-hatch-progressive/TWVyY2VkZXMtQmVueiBBMjAwIEhhdGNoIFByb2dyZXNzaXZl/?price=729554" xr:uid="{EC45A188-3B19-4106-B95F-14DA816B844C}"/>
    <hyperlink ref="B106" r:id="rId105" display="https://www.carmag.co.za/car-price-guide-view/bmw-218d-gran-coupe/Qk1XIDIxOGQgR3JhbiBDb3Vww6k=/?price=729858" xr:uid="{6065AAAC-B3B7-4DF9-B33B-AA1C12433ABC}"/>
    <hyperlink ref="B107" r:id="rId106" display="https://www.carmag.co.za/car-price-guide-view/mini-cooper-s-convertible/TUlOSSBDb29wZXIgUyBDb252ZXJ0aWJsZQ==/?price=739010" xr:uid="{598FB870-0199-415C-9874-5DDA82B5515A}"/>
    <hyperlink ref="B108" r:id="rId107" display="https://www.carmag.co.za/car-price-guide-view/audi-a4-35tfsi/QXVkaSBBNCAzNVRGU0k=/?price=740700" xr:uid="{9A0AD263-D82C-4D1C-9D7B-8022AA25A025}"/>
    <hyperlink ref="B109" r:id="rId108" display="https://www.carmag.co.za/car-price-guide-view/mini-cooper-se-hatch-3-door/TUlOSSBDb29wZXIgU0UgSGF0Y2ggMy1kb29y/?price=742102" xr:uid="{E66EBF74-7DA0-4F5B-8FB6-ECB67E81B6BF}"/>
    <hyperlink ref="B110" r:id="rId109" display="https://www.carmag.co.za/car-price-guide-view/bmw-220i-gran-coupe/Qk1XIDIyMGkgR3JhbiBDb3Vww6k=/?price=742590" xr:uid="{1894A180-A679-4B2E-80BA-3A3108F1818A}"/>
    <hyperlink ref="B111" r:id="rId110" display="https://www.carmag.co.za/car-price-guide-view/volkswagen-golf-gti/Vm9sa3N3YWdlbiBHb2xmIEdUSQ==/?price=744200" xr:uid="{1687E487-5592-445B-8EEF-FF044411A5D9}"/>
    <hyperlink ref="B112" r:id="rId111" display="https://www.carmag.co.za/car-price-guide-view/mini-cooper-se-hatch-3-door-resolute-edition/TUlOSSBDb29wZXIgU0UgSGF0Y2ggMy1kb29yIFJlc29sdXRlIEVkaXRpb24=/?price=745402" xr:uid="{48651E46-5F78-4055-A4D0-C3E12BFCF126}"/>
    <hyperlink ref="B113" r:id="rId112" display="https://www.carmag.co.za/car-price-guide-view/toyota-gr86/VG95b3RhIEdSODY=/?price=748400" xr:uid="{7748B29B-D3C7-4DB5-9866-3CF6660AE218}"/>
    <hyperlink ref="B114" r:id="rId113" display="https://www.carmag.co.za/car-price-guide-view/mini-cooper-s-convertible-resolute-edition/TUlOSSBDb29wZXIgUyBDb252ZXJ0aWJsZSBSZXNvbHV0ZSBFZGl0aW9u/?price=748510" xr:uid="{EAE7CC8B-0519-4080-949E-E531F2EC9729}"/>
    <hyperlink ref="B115" r:id="rId114" display="https://www.carmag.co.za/car-price-guide-view/mercedes-benz-a200-hatch-amg-line/TWVyY2VkZXMtQmVueiBBMjAwIEhhdGNoIEFNRyBMaW5l/?price=758554" xr:uid="{FA84A3FD-AA1E-44C4-AFF7-51A4A531344C}"/>
    <hyperlink ref="B116" r:id="rId115" display="https://www.carmag.co.za/car-price-guide-view/bmw-128ti/Qk1XIDEyOHRp/?price=764260" xr:uid="{91EA7EBD-C5A5-4172-8169-2103FA977EFF}"/>
    <hyperlink ref="B117" r:id="rId116" display="https://www.carmag.co.za/car-price-guide-view/bmw-218d-gran-coupe-m-sport/Qk1XIDIxOGQgR3JhbiBDb3Vww6kgTSBTcG9ydA==/?price=765558" xr:uid="{ABEEDEB9-1DCC-4942-A819-5DF36DD30CB3}"/>
    <hyperlink ref="B118" r:id="rId117" display="https://www.carmag.co.za/car-price-guide-view/bmw-318i/Qk1XIDMxOGk=/?price=767894" xr:uid="{B861F331-80C1-472B-9775-9E7BA0443250}"/>
    <hyperlink ref="B119" r:id="rId118" display="https://www.carmag.co.za/car-price-guide-view/lexus-es-250-ex/TGV4dXMgRVMgMjUwIEVY/?price=771400" xr:uid="{EE532E1B-9D02-4C47-BD33-143064C82B27}"/>
    <hyperlink ref="B120" r:id="rId119" display="https://www.carmag.co.za/car-price-guide-view/bmw-220i-gran-coupe-m-sport/Qk1XIDIyMGkgR3JhbiBDb3Vww6kgTSBTcG9ydA==/?price=778290" xr:uid="{EBD418B8-B331-4F05-856A-A19BF34D35E7}"/>
    <hyperlink ref="B121" r:id="rId120" display="https://www.carmag.co.za/car-price-guide-view/hyundai-i30-n/SHl1bmRhaSBpMzAgTg==/?price=779900" xr:uid="{0A575645-719A-40BA-B3DA-086C5E9F64D7}"/>
    <hyperlink ref="B122" r:id="rId121" display="https://www.carmag.co.za/car-price-guide-view/audi-a4-35tdi/QXVkaSBBNCAzNVRESQ==/?price=784500" xr:uid="{3CEE603C-6380-4397-8EA2-002EDC464899}"/>
    <hyperlink ref="B123" r:id="rId122" display="https://www.carmag.co.za/car-price-guide-view/mercedes-benz-a200-sedan-progressive/TWVyY2VkZXMtQmVueiBBMjAwIFNlZGFuIFByb2dyZXNzaXZl/?price=784554" xr:uid="{610473BD-7B73-4D51-A5CD-DB52D594B80F}"/>
    <hyperlink ref="B124" r:id="rId123" display="https://www.carmag.co.za/car-price-guide-view/audi-a4-40tfsi/QXVkaSBBNCA0MFRGU0k=/?price=794800" xr:uid="{9EC366F4-F610-4DDF-9080-617D49DDD80F}"/>
    <hyperlink ref="B125" r:id="rId124" display="https://www.carmag.co.za/car-price-guide-view/mercedes-benz-a200-sedan-amg-line/TWVyY2VkZXMtQmVueiBBMjAwIFNlZGFuIEFNRyBMaW5l/?price=813554" xr:uid="{C02CBA4D-2D81-4711-8B57-68A78A50C8F1}"/>
    <hyperlink ref="B126" r:id="rId125" display="https://www.carmag.co.za/car-price-guide-view/bmw-318i-m-sport/Qk1XIDMxOGkgTSBTcG9ydA==/?price=817894" xr:uid="{1E2FAF41-9907-46AF-8969-11DFBE142CAF}"/>
    <hyperlink ref="B127" r:id="rId126" display="https://www.carmag.co.za/car-price-guide-view/audi-a4-35tdi-s-line/QXVkaSBBNCAzNVRESSBTIGxpbmU=/?price=829500" xr:uid="{396D09C5-F181-4795-B17A-78F44B918726}"/>
    <hyperlink ref="B128" r:id="rId127" display="https://www.carmag.co.za/car-price-guide-view/lexus-es-300h-ex/TGV4dXMgRVMgMzAwaCBFWA==/?price=829900" xr:uid="{2023B786-410E-486E-A418-1DFEC1CB8EDB}"/>
    <hyperlink ref="B129" r:id="rId128" display="https://www.carmag.co.za/car-price-guide-view/bmw-320i/Qk1XIDMyMGk=/?price=832894" xr:uid="{33A333D3-ED7C-4290-891A-8A942FAF75EA}"/>
    <hyperlink ref="B130" r:id="rId129" display="https://www.carmag.co.za/car-price-guide-view/audi-a5-coupe-40tfsi/QXVkaSBBNSBDb3Vww6kgNDBURlNJ/?price=834300" xr:uid="{FBE1D8A5-931B-4EFC-B070-621C36A022FE}"/>
    <hyperlink ref="B131" r:id="rId130" display="https://www.carmag.co.za/car-price-guide-view/audi-a4-40tfsi-s-line/QXVkaSBBNCA0MFRGU0kgUyBsaW5l/?price=839800" xr:uid="{773C09CB-996A-43B3-83A7-B813D271CC6F}"/>
    <hyperlink ref="B132" r:id="rId131" display="https://www.carmag.co.za/car-price-guide-view/bmw-220i-coupe-m-sport/Qk1XIDIyMGkgQ291cMOpIE0gU3BvcnQ=/?price=842590" xr:uid="{43727477-83A9-4E7B-9FCA-6F6D3EE00ACA}"/>
    <hyperlink ref="B133" r:id="rId132" display="https://www.carmag.co.za/car-price-guide-view/audi-a5-sportback-40tfsi/QXVkaSBBNSBTcG9ydGJhY2sgNDBURlNJ/?price=849300" xr:uid="{DE610F25-AF33-425C-B5A7-158E62FF881D}"/>
    <hyperlink ref="B134" r:id="rId133" display="https://www.carmag.co.za/car-price-guide-view/bmw-420i-coupe/Qk1XIDQyMGkgQ291cMOp/?price=852742" xr:uid="{377F5F69-5E45-4E44-BCB7-C509E122ABC2}"/>
    <hyperlink ref="B135" r:id="rId134" display="https://www.carmag.co.za/car-price-guide-view/mercedes-benz-cla200-progressive/TWVyY2VkZXMtQmVueiBDTEEyMDAgUHJvZ3Jlc3NpdmU=/?price=856463" xr:uid="{C537D2F5-E060-47E3-84E8-1241C0142F73}"/>
    <hyperlink ref="B136" r:id="rId135" display="https://www.carmag.co.za/car-price-guide-view/subaru-wrx-2-4t-ts-es/U3ViYXJ1IFdSWCAyLjRUIHRTIEVT/?price=877000" xr:uid="{DD52EBEC-1CD6-46E5-A616-B9B6C90B99C3}"/>
    <hyperlink ref="B137" r:id="rId136" display="https://www.carmag.co.za/car-price-guide-view/audi-a5-coupe-40tfsi-s-line/QXVkaSBBNSBDb3Vww6kgNDBURlNJIFMgbGluZQ==/?price=879300" xr:uid="{11F4504E-D67D-47C5-8382-7BBFFCE0416D}"/>
    <hyperlink ref="B138" r:id="rId137" display="https://www.carmag.co.za/car-price-guide-view/bmw-320d/Qk1XIDMyMGQ=/?price=880768" xr:uid="{DB3CC2C8-82C9-4B72-8699-4C9CD359C4DE}"/>
    <hyperlink ref="B139" r:id="rId138" display="https://www.carmag.co.za/car-price-guide-view/bmw-320i-m-sport/Qk1XIDMyMGkgTSBTcG9ydA==/?price=882894" xr:uid="{C99A085C-54CC-4048-BE11-B2171F1C9C5A}"/>
    <hyperlink ref="B140" r:id="rId139" display="https://www.carmag.co.za/car-price-guide-view/audi-s3-sportback-quattro/QXVkaSBTMyBTcG9ydGJhY2sgcXVhdHRybw==/?price=883100" xr:uid="{3271F038-5F3D-413F-A730-02808C304BDC}"/>
    <hyperlink ref="B141" r:id="rId140" display="https://www.carmag.co.za/car-price-guide-view/mercedes-benz-cla200-amg-line/TWVyY2VkZXMtQmVueiBDTEEyMDAgQU1HIExpbmU=/?price=885463" xr:uid="{C654DF47-0545-4E58-9D20-B5D1D5C73B6F}"/>
    <hyperlink ref="B142" r:id="rId141" display="https://www.carmag.co.za/car-price-guide-view/bmw-220d-coupe-m-sport/Qk1XIDIyMGQgQ291cMOpIE0gU3BvcnQ=/?price=889706" xr:uid="{B3665397-A085-44C0-99D2-434388A94F2F}"/>
    <hyperlink ref="B143" r:id="rId142" display="https://www.carmag.co.za/car-price-guide-view/audi-tts-coupe-quattro/QXVkaSBUVFMgQ291cMOpIHF1YXR0cm8=/?price=894100" xr:uid="{2E381F3D-CD3E-4261-8C30-A754DA5E940E}"/>
    <hyperlink ref="B144" r:id="rId143" display="https://www.carmag.co.za/car-price-guide-view/audi-a5-sportback-40tfsi-s-line/QXVkaSBBNSBTcG9ydGJhY2sgNDBURlNJIFMgbGluZQ==/?price=894300" xr:uid="{C2CD3777-ADF2-4A0B-B955-019B1DB93AB1}"/>
    <hyperlink ref="B145" r:id="rId144" display="https://www.carmag.co.za/car-price-guide-view/audi-s3-sedan-quattro/QXVkaSBTMyBTZWRhbiBxdWF0dHJv/?price=898100" xr:uid="{315E0FBC-A511-4CB7-B5B9-86710C8E5D9B}"/>
    <hyperlink ref="B146" r:id="rId145" display="https://www.carmag.co.za/car-price-guide-view/mercedes-benz-cla220d-progressive/TWVyY2VkZXMtQmVueiBDTEEyMjBkIFByb2dyZXNzaXZl/?price=899749" xr:uid="{C69179BB-2BE7-46A8-B45E-6270747D8908}"/>
    <hyperlink ref="B147" r:id="rId146" display="https://www.carmag.co.za/car-price-guide-view/bmw-420d-coupe/Qk1XIDQyMGQgQ291cMOp/?price=899858" xr:uid="{AD0A5EB0-5BBD-4384-825C-F23D3ECBE738}"/>
    <hyperlink ref="B148" r:id="rId147" display="https://www.carmag.co.za/car-price-guide-view/renault-megane-rs-300-trophy/UmVuYXVsdCBNw6lnYW5lIFJTIDMwMCBUcm9waHk=/?price=899999" xr:uid="{2F686031-0FE8-42AD-A3F1-7221F1810263}"/>
    <hyperlink ref="B149" r:id="rId148" display="https://www.carmag.co.za/car-price-guide-view/bmw-420i-coupe-m-sport/Qk1XIDQyMGkgQ291cMOpIE0gU3BvcnQ=/?price=904842" xr:uid="{5FE3A8AC-DABD-4585-AFA3-FD7D5160F0A1}"/>
    <hyperlink ref="B150" r:id="rId149" display="https://www.carmag.co.za/car-price-guide-view/mercedes-benz-c200-coupe-amg-line/TWVyY2VkZXMtQmVueiBDMjAwIENvdXDDqSBBTUcgTGluZQ==/?price=912563" xr:uid="{51490ED0-AE88-4E97-9AC8-A342C90BAA1A}"/>
    <hyperlink ref="B151" r:id="rId150" display="https://www.carmag.co.za/car-price-guide-view/volvo-s90-b5-essential/Vm9sdm8gUzkwIEI1IEVzc2VudGlhbA==/?price=922600" xr:uid="{5EDA8CC6-C36E-4C25-919B-EE0EE6231E3C}"/>
    <hyperlink ref="B152" r:id="rId151" display="https://www.carmag.co.za/car-price-guide-view/audi-a5-coupe-40tdi-quattro-s-line/QXVkaSBBNSBDb3Vww6kgNDBUREkgcXVhdHRybyBTIGxpbmU=/?price=928300" xr:uid="{EB9FC120-9065-4EA5-BBE1-2129C5B9B3AA}"/>
    <hyperlink ref="B153" r:id="rId152" display="https://www.carmag.co.za/car-price-guide-view/mercedes-benz-cla220d-amg-line/TWVyY2VkZXMtQmVueiBDTEEyMjBkIEFNRyBMaW5l/?price=928749" xr:uid="{7AE3AB3C-D34A-4471-A782-0AD55A6DD0E9}"/>
    <hyperlink ref="B154" r:id="rId153" display="https://www.carmag.co.za/car-price-guide-view/bmw-m135i-xdrive/Qk1XIE0xMzVpIHhEcml2ZQ==/?price=930537" xr:uid="{821887CA-37B5-4990-8FA4-F509C018655B}"/>
    <hyperlink ref="B155" r:id="rId154" display="https://www.carmag.co.za/car-price-guide-view/bmw-320d-m-sport/Qk1XIDMyMGQgTSBTcG9ydA==/?price=930768" xr:uid="{B9B2DCC0-C867-4077-BC8E-D8F2834E278F}"/>
    <hyperlink ref="B156" r:id="rId155" display="https://www.carmag.co.za/car-price-guide-view/lexus-is-300h-ex/TGV4dXMgSVMgMzAwaCBFWA==/?price=942700" xr:uid="{135EF193-E34A-48A5-ADF0-FC34A175BCB9}"/>
    <hyperlink ref="B157" r:id="rId156" display="https://www.carmag.co.za/car-price-guide-view/audi-a5-sportback-40tdi-quattro-s-line/QXVkaSBBNSBTcG9ydGJhY2sgNDBUREkgcXVhdHRybyBTIGxpbmU=/?price=943300" xr:uid="{425F1237-1F08-4334-B163-0F17A150051D}"/>
    <hyperlink ref="B158" r:id="rId157" display="https://www.carmag.co.za/car-price-guide-view/bmw-420d-coupe-m-sport/Qk1XIDQyMGQgQ291cMOpIE0gU3BvcnQ=/?price=951958" xr:uid="{054D6D3D-12F7-4E11-9B59-A01F381011FB}"/>
    <hyperlink ref="B159" r:id="rId158" display="https://www.carmag.co.za/car-price-guide-view/bmw-420i-gran-coupe-m-sport/Qk1XIDQyMGkgR3JhbiBDb3Vww6kgTSBTcG9ydA==/?price=953197" xr:uid="{42351A28-5333-4BBA-9503-754BCF4A216C}"/>
    <hyperlink ref="B160" r:id="rId159" display="https://www.carmag.co.za/car-price-guide-view/mercedes-benz-c220d-coupe-amg-line/TWVyY2VkZXMtQmVueiBDMjIwZCBDb3Vww6kgQU1HIExpbmU=/?price=954850" xr:uid="{D11A4491-C9D7-4478-9748-37541010E639}"/>
    <hyperlink ref="B161" r:id="rId160" display="https://www.carmag.co.za/car-price-guide-view/bmw-z4-sdrive20i-m-sport/Qk1XIFo0IHNEcml2ZTIwaSBNIFNwb3J0/?price=963645" xr:uid="{6F7754B6-048A-49C2-9810-F947D25B7BFC}"/>
    <hyperlink ref="B162" r:id="rId161" display="https://www.carmag.co.za/car-price-guide-view/mercedes-benz-c200-avantgarde/TWVyY2VkZXMtQmVueiBDMjAwIEF2YW50Z2FyZGU=/?price=966156" xr:uid="{7E4DA1BF-8CDD-4550-BE38-CBAE4AD9098D}"/>
    <hyperlink ref="B163" r:id="rId162" display="https://www.carmag.co.za/car-price-guide-view/bmw-m235i-xdrive-gran-coupe/Qk1XIE0yMzVpIHhEcml2ZSBHcmFuIENvdXDDqQ==/?price=980840" xr:uid="{B8FAD84E-E37F-4935-872B-DCB4E10E9A8B}"/>
    <hyperlink ref="B164" r:id="rId163" display="https://www.carmag.co.za/car-price-guide-view/bmw-420i-convertible/Qk1XIDQyMGkgQ29udmVydGlibGU=/?price=987853" xr:uid="{0FE13070-5C50-409F-9EBC-595339C9416B}"/>
    <hyperlink ref="B165" r:id="rId164" display="https://www.carmag.co.za/car-price-guide-view/mercedes-benz-e200-avantgarde/TWVyY2VkZXMtQmVueiBFMjAwIEF2YW50Z2FyZGU=/?price=993289" xr:uid="{D11B3801-654A-4CE3-BB22-CD623686F9C7}"/>
    <hyperlink ref="B166" r:id="rId165" display="https://www.carmag.co.za/car-price-guide-view/volvo-s90-b5-plus-dark/Vm9sdm8gUzkwIEI1IFBsdXMgRGFyaw==/?price=998300" xr:uid="{8D056C1E-987D-4125-8FDB-A046660ACDD1}"/>
    <hyperlink ref="B167" r:id="rId166" display="https://www.carmag.co.za/car-price-guide-view/bmw-420d-gran-coupe-m-sport/Qk1XIDQyMGQgR3JhbiBDb3Vww6kgTSBTcG9ydA==/?price=1000313" xr:uid="{BC5529B6-7065-4375-A572-83E7DBDE8B5C}"/>
    <hyperlink ref="B168" r:id="rId167" display="https://www.carmag.co.za/car-price-guide-view/volvo-s90-b5-plus-bright/Vm9sdm8gUzkwIEI1IFBsdXMgQnJpZ2h0/?price=1002500" xr:uid="{6C930E50-5A5A-4437-A5B3-1822ACBE9217}"/>
    <hyperlink ref="B169" r:id="rId168" display="https://www.carmag.co.za/car-price-guide-view/mercedes-amg-a35-sedan-4matic/TWVyY2VkZXMtQU1HIEEzNSBTZWRhbiA0TWF0aWM=/?price=1006041" xr:uid="{8FE5E21B-2FAE-4909-A50D-8AACF3E77C29}"/>
    <hyperlink ref="B170" r:id="rId169" display="https://www.carmag.co.za/car-price-guide-view/lexus-is-300h-se/TGV4dXMgSVMgMzAwaCBTRQ==/?price=1008300" xr:uid="{63FBB87A-18B3-4AE2-817F-C2F605F3B523}"/>
    <hyperlink ref="B171" r:id="rId170" display="https://www.carmag.co.za/car-price-guide-view/mercedes-benz-c200-amg-line/TWVyY2VkZXMtQmVueiBDMjAwIEFNRyBMaW5l/?price=1020156" xr:uid="{3B13B52D-E979-4EB5-9EF6-89EDA7A4C27B}"/>
    <hyperlink ref="B172" r:id="rId171" display="https://www.carmag.co.za/car-price-guide-view/lexus-es-300h-se/TGV4dXMgRVMgMzAwaCBTRQ==/?price=1021300" xr:uid="{425A997F-11B9-45B3-A0DD-EED6789DE361}"/>
    <hyperlink ref="B173" r:id="rId172" display="https://www.carmag.co.za/car-price-guide-view/mercedes-benz-c220d-avantgarde/TWVyY2VkZXMtQmVueiBDMjIwZCBBdmFudGdhcmRl/?price=1030549" xr:uid="{B54B83E9-AE53-4B9D-B511-EB62F49AE1A0}"/>
    <hyperlink ref="B174" r:id="rId173" display="https://www.carmag.co.za/car-price-guide-view/volvo-s90-b5-ultimate-dark/Vm9sdm8gUzkwIEI1IFVsdGltYXRlIERhcms=/?price=1035400" xr:uid="{502966C4-A010-4471-871E-6CA5F59489E9}"/>
    <hyperlink ref="B175" r:id="rId174" display="https://www.carmag.co.za/car-price-guide-view/lexus-is-300h-f-sport/TGV4dXMgSVMgMzAwaCBGIFNwb3J0/?price=1036400" xr:uid="{7981F8CF-ADBF-47F5-B3C7-84EDA74680E4}"/>
    <hyperlink ref="B176" r:id="rId175" display="https://www.carmag.co.za/car-price-guide-view/volvo-s90-b5-ultimate-bright/Vm9sdm8gUzkwIEI1IFVsdGltYXRlIEJyaWdodA==/?price=1039300" xr:uid="{E44DEED4-F9F5-46F6-AEA3-65364B696E37}"/>
    <hyperlink ref="B177" r:id="rId176" display="https://www.carmag.co.za/car-price-guide-view/audi-a6-40tdi/QXVkaSBBNiA0MFRESQ==/?price=1041000" xr:uid="{3427AC24-8D08-4F7A-9A04-089740240188}"/>
    <hyperlink ref="B178" r:id="rId177" display="https://www.carmag.co.za/car-price-guide-view/bmw-420i-convertible-m-sport/Qk1XIDQyMGkgY29udmVydGlibGUgTSBTcG9ydA==/?price=1044553" xr:uid="{B8B9B38E-9BB0-47DA-A1F5-5240AD99CEBE}"/>
    <hyperlink ref="B179" r:id="rId178" display="https://www.carmag.co.za/car-price-guide-view/mercedes-benz-c300-coupe-amg-line/TWVyY2VkZXMtQmVueiBDMzAwIENvdXDDqSBBTUcgTGluZQ==/?price=1048213" xr:uid="{F566067A-87C5-4F9D-A00F-BC83CDFF3485}"/>
    <hyperlink ref="B180" r:id="rId179" display="https://www.carmag.co.za/car-price-guide-view/mercedes-benz-e200-amg-line/TWVyY2VkZXMtQmVueiBFMjAwIEFNRyBMaW5l/?price=1059589" xr:uid="{9D49ADB6-4015-478F-A558-B215B23FBE08}"/>
    <hyperlink ref="B181" r:id="rId180" display="https://www.carmag.co.za/car-price-guide-view/mercedes-benz-c200-cabriolet-amg-line/TWVyY2VkZXMtQmVueiBDMjAwIENhYnJpb2xldCBBTUcgTGluZQ==/?price=1062081" xr:uid="{4812677D-2A22-44E3-AF17-9FD6774F6429}"/>
    <hyperlink ref="B182" r:id="rId181" display="https://www.carmag.co.za/car-price-guide-view/mercedes-benz-e220d-avantgarde/TWVyY2VkZXMtQmVueiBFMjIwZCBBdmFudGdhcmRl/?price=1066926" xr:uid="{9191390E-01BC-40A7-BF51-34B99F4FD1CF}"/>
    <hyperlink ref="B183" r:id="rId182" display="https://www.carmag.co.za/car-price-guide-view/bmw-520d/Qk1XIDUyMGQ=/?price=1081376" xr:uid="{5304E7EF-1EC1-4DB8-ABEA-DB72488665C8}"/>
    <hyperlink ref="B184" r:id="rId183" display="https://www.carmag.co.za/car-price-guide-view/bmw-530i/Qk1XIDUzMGk=/?price=1083956" xr:uid="{16F6AFB4-D2CD-4E31-B9DF-A98AE735FDD1}"/>
    <hyperlink ref="B185" r:id="rId184" display="https://www.carmag.co.za/car-price-guide-view/mercedes-benz-c220d-amg-line/TWVyY2VkZXMtQmVueiBDMjIwZCBBTUcgTGluZQ==/?price=1084549" xr:uid="{1909FEF6-9FA9-4675-AD9F-0626CD6EB774}"/>
    <hyperlink ref="B186" r:id="rId185" display="https://www.carmag.co.za/car-price-guide-view/alfa-romeo-giulia-2-0t-veloce/QWxmYSBSb21lbyBHaXVsaWEgMi4wVCBWZWxvY2U=/?price=1086900" xr:uid="{5620339A-2407-4D1E-A09E-5F33DA8F22E6}"/>
    <hyperlink ref="B187" r:id="rId186" display="https://www.carmag.co.za/car-price-guide-view/audi-s4-tfsi-quattro/QXVkaSBTNCBURlNJIHF1YXR0cm8=/?price=1087000" xr:uid="{3928EDCD-4945-456C-8DEE-4E6AAF5CCA89}"/>
    <hyperlink ref="B188" r:id="rId187" display="https://www.carmag.co.za/car-price-guide-view/audi-a6-40tdi-sports-s-line/QXVkaSBBNiA0MFRESSBzcG9ydHMgUyBsaW5l/?price=1090700" xr:uid="{8E42DD4C-73E7-4774-992F-24FEDB2AAF51}"/>
    <hyperlink ref="B189" r:id="rId188" display="https://www.carmag.co.za/car-price-guide-view/mercedes-amg-a35-hatch-4matic/TWVyY2VkZXMtQU1HIEEzNSBIYXRjaCA0TWF0aWM=/?price=1112448" xr:uid="{ADF4C6C1-1D34-4E28-806B-C0E3DCD2D8B7}"/>
    <hyperlink ref="B190" r:id="rId189" display="https://www.carmag.co.za/car-price-guide-view/ford-mustang-5-0-gt-fastback/Rm9yZCBNdXN0YW5nIDUuMCBHVCBGYXN0YmFjaw==/?price=1117500" xr:uid="{CF74395D-8A93-4864-A8AD-AC72C5363A43}"/>
    <hyperlink ref="B191" r:id="rId190" display="https://www.carmag.co.za/car-price-guide-view/mercedes-benz-e220d-amg-line/TWVyY2VkZXMtQmVueiBFMjIwZCBBTUcgTGluZQ==/?price=1133226" xr:uid="{286572A5-1CD7-48B7-A7D3-D46D8705C3E8}"/>
    <hyperlink ref="B192" r:id="rId191" display="https://www.carmag.co.za/car-price-guide-view/bmw-m240i-xdrive-coupe/Qk1XIE0yNDBpIHhEcml2ZSBDb3Vww6k=/?price=1138662" xr:uid="{2CCE4CE6-23CF-4BA4-947E-D51291A4D472}"/>
    <hyperlink ref="B193" r:id="rId192" display="https://www.carmag.co.za/car-price-guide-view/bmw-520d-m-sport/Qk1XIDUyMGQgTSBTcG9ydA==/?price=1143776" xr:uid="{A819877A-4BB0-4592-AE11-A87CEA2FA947}"/>
    <hyperlink ref="B194" r:id="rId193" display="https://www.carmag.co.za/car-price-guide-view/bmw-530i-m-sport/Qk1XIDUzMGkgTSBTcG9ydA==/?price=1146356" xr:uid="{9FE85A3C-A26B-404C-8916-11C0B6823A49}"/>
    <hyperlink ref="B195" r:id="rId194" display="https://www.carmag.co.za/car-price-guide-view/toyota-gr-supra-3-0t-track/VG95b3RhIEdSIFN1cHJhIDMuMFQgVHJhY2s=/?price=1155900" xr:uid="{2E907280-C9E8-4325-8552-4A8D514C6CBD}"/>
    <hyperlink ref="B196" r:id="rId195" display="https://www.carmag.co.za/car-price-guide-view/mercedes-amg-cla35-4matic/TWVyY2VkZXMtQU1HIENMQTM1IDRNYXRpYw==/?price=1166348" xr:uid="{0F63DDE3-6EA2-4160-B41E-68AE0EE5F80A}"/>
    <hyperlink ref="B197" r:id="rId196" display="https://www.carmag.co.za/car-price-guide-view/audi-s5-tfsi-coupe-quattro/QXVkaSBTNSBURlNJIENvdXDDqSBxdWF0dHJv/?price=1169400" xr:uid="{B6E0A6F2-50A0-43A4-B100-459840196C1D}"/>
    <hyperlink ref="B198" r:id="rId197" display="https://www.carmag.co.za/car-price-guide-view/mercedes-benz-c300-cabriolet-amg-line/TWVyY2VkZXMtQmVueiBDMzAwIENhYnJpb2xldCBBTUcgTGluZQ==/?price=1182231" xr:uid="{49F58209-AE51-4835-B0C4-FA838303D60B}"/>
    <hyperlink ref="B199" r:id="rId198" display="https://www.carmag.co.za/car-price-guide-view/audi-s5-tfsi-sportback-quattro/QXVkaSBTNSBURlNJIFNwb3J0YmFjayBxdWF0dHJv/?price=1184400" xr:uid="{723E6DEF-899D-4415-93CD-35E09CFF5BA0}"/>
    <hyperlink ref="B200" r:id="rId199" display="https://www.carmag.co.za/car-price-guide-view/volvo-s90-b6-awd-plus-dark/Vm9sdm8gUzkwIEI2IEFXRCBQbHVzIERhcms=/?price=1186900" xr:uid="{667F5054-1CB4-4794-A970-284060A7CF87}"/>
    <hyperlink ref="B201" r:id="rId200" display="https://www.carmag.co.za/car-price-guide-view/ford-mustang-5-0-gt-cs-california-special-fastback/Rm9yZCBNdXN0YW5nIDUuMCBHVC9DUyBDYWxpZm9ybmlhIFNwZWNpYWwgZmFzdGJhY2s=/?price=1187500" xr:uid="{5E06A90A-D1D2-415B-ABEF-A4ECB57C7CDF}"/>
    <hyperlink ref="B202" r:id="rId201" display="https://www.carmag.co.za/car-price-guide-view/volvo-s90-b6-awd-plus-bright/Vm9sdm8gUzkwIEI2IEFXRCBQbHVzIEJyaWdodA==/?price=1190800" xr:uid="{C215065A-6D8A-4366-B520-D0432D3AC746}"/>
    <hyperlink ref="B203" r:id="rId202" display="https://www.carmag.co.za/car-price-guide-view/ford-mustang-5-0-gt-convertible/Rm9yZCBNdXN0YW5nIDUuMCBHVCBDb252ZXJ0aWJsZQ==/?price=1194000" xr:uid="{ED5A504C-6717-460F-8BFF-EA795758126D}"/>
    <hyperlink ref="B204" r:id="rId203" display="https://www.carmag.co.za/car-price-guide-view/audi-tt-rs-coupe-quattro/QXVkaSBUVCBSUyBDb3Vww6kgcXVhdHRybw==/?price=1211200" xr:uid="{5D8613FD-E25D-4876-B12C-436190E38C00}"/>
    <hyperlink ref="B205" r:id="rId204" display="https://www.carmag.co.za/car-price-guide-view/audi-rs3-sportback-quattro/QXVkaSBSUzMgU3BvcnRiYWNrIHF1YXR0cm8=/?price=1215000" xr:uid="{72949D9B-7235-48E8-9704-895204919F45}"/>
    <hyperlink ref="B206" r:id="rId205" display="https://www.carmag.co.za/car-price-guide-view/volvo-s90-b6-awd-ultimate-dark/Vm9sdm8gUzkwIEI2IEFXRCBVbHRpbWF0ZSBEYXJr/?price=1223900" xr:uid="{BEB5DB2A-A147-4F72-9F2A-4D92F490B7AB}"/>
    <hyperlink ref="B207" r:id="rId206" display="https://www.carmag.co.za/car-price-guide-view/volvo-s90-b6-awd-ultimate-bright/Vm9sdm8gUzkwIEI2IEFXRCBVbHRpbWF0ZSBCcmlnaHQ=/?price=1227800" xr:uid="{555B5130-2397-4BBA-B5EE-E6B82486281B}"/>
    <hyperlink ref="B208" r:id="rId207" display="https://www.carmag.co.za/car-price-guide-view/ford-mustang-5-0-mach-1-fastback/Rm9yZCBNdXN0YW5nIDUuMCBNYWNoIDEgRmFzdGJhY2s=/?price=1233400" xr:uid="{622081FE-EFFA-4311-8C0F-4CA0FA6E19E0}"/>
    <hyperlink ref="B209" r:id="rId208" display="https://www.carmag.co.za/car-price-guide-view/mercedes-benz-e300-coupe-amg-line/TWVyY2VkZXMtQmVueiBFMzAwIENvdXDDqSBBTUcgTGluZQ==/?price=1240989" xr:uid="{CCC83831-FC99-4B34-BF59-0DE4A7191CA8}"/>
    <hyperlink ref="B210" r:id="rId209" display="https://www.carmag.co.za/car-price-guide-view/audi-rs3-sedan-quattro/QXVkaSBSUzMgU2VkYW4gcXVhdHRybw==/?price=1245000" xr:uid="{F6CD2F47-A86C-4967-BBEA-741DF6FE971F}"/>
    <hyperlink ref="B211" r:id="rId210" display="https://www.carmag.co.za/car-price-guide-view/audi-a6-45tdi-quattro/QXVkaSBBNiA0NVRESSBxdWF0dHJv/?price=1245700" xr:uid="{DC93BABB-7F38-4EE1-BAE3-758DCEE6281E}"/>
    <hyperlink ref="B212" r:id="rId211" display="https://www.carmag.co.za/car-price-guide-view/mercedes-amg-a45-s-hatch-4matic/TWVyY2VkZXMtQU1HIEE0NSBTIEhhdGNoIDRNYXRpYys=/?price=1256243" xr:uid="{1FE92AB1-1B49-4850-8529-46B077586BF2}"/>
    <hyperlink ref="B213" r:id="rId212" display="https://www.carmag.co.za/car-price-guide-view/audi-tt-rs-roadster-quattro/QXVkaSBUVCBSUyBSb2Fkc3RlciBxdWF0dHJv/?price=1267100" xr:uid="{DA471A99-62A0-4A3C-A175-F39E274F88A9}"/>
    <hyperlink ref="B214" r:id="rId213" display="https://www.carmag.co.za/car-price-guide-view/audi-s5-tfsi-cabriolet-quattro/QXVkaSBTNSBURlNJIENhYnJpb2xldCBxdWF0dHJv/?price=1269400" xr:uid="{C2CEACC6-6BE7-41D5-912C-D7828DF401A1}"/>
    <hyperlink ref="B215" r:id="rId214" display="https://www.carmag.co.za/car-price-guide-view/bmw-z4-m40i/Qk1XIFo0IE00MGk=/?price=1286537" xr:uid="{1F478796-3D5F-4CAF-82DE-A017A4379FAE}"/>
    <hyperlink ref="B216" r:id="rId215" display="https://www.carmag.co.za/car-price-guide-view/audi-a6-45tdi-quattro-sports-s-line/QXVkaSBBNiA0NVRESSBxdWF0dHJvIHNwb3J0cyBTIGxpbmU=/?price=1295400" xr:uid="{1BD83BB0-0E6F-4B6F-8DD2-339B88F88A28}"/>
    <hyperlink ref="B217" r:id="rId216" display="https://www.carmag.co.za/car-price-guide-view/toyota-gr-supra-3-0t/VG95b3RhIEdSIFN1cHJhIDMuMFQ=/?price=1300600" xr:uid="{F60D08ED-8204-4B48-9F25-1C1E55595B37}"/>
    <hyperlink ref="B218" r:id="rId217" display="https://www.carmag.co.za/car-price-guide-view/bmw-m440i-xdrive-coupe/Qk1XIE00NDBpIHhEcml2ZSBDb3Vww6k=/?price=1327599" xr:uid="{380B4AD0-4812-44E5-B814-85D051715E88}"/>
    <hyperlink ref="B219" r:id="rId218" display="https://www.carmag.co.za/car-price-guide-view/bmw-m340i-xdrive/Qk1XIE0zNDBpIHhEcml2ZQ==/?price=1338207" xr:uid="{EFC5A570-F763-4922-B6DF-A71C313023BA}"/>
    <hyperlink ref="B220" r:id="rId219" display="https://www.carmag.co.za/car-price-guide-view/mercedes-amg-c43-coupe-4matic/TWVyY2VkZXMtQU1HIEM0MyBDb3Vww6kgNE1hdGlj/?price=1358432" xr:uid="{CD78B2E5-D09A-4DB6-B6B1-8407DE460B39}"/>
    <hyperlink ref="B221" r:id="rId220" display="https://www.carmag.co.za/car-price-guide-view/mercedes-benz-e300-cabriolet-amg-line/TWVyY2VkZXMtQmVueiBFMzAwIENhYnJpb2xldCBBTUcgTGluZQ==/?price=1393444" xr:uid="{365E22DB-A645-421C-9080-4B2CB356635E}"/>
    <hyperlink ref="B222" r:id="rId221" display="https://www.carmag.co.za/car-price-guide-view/bmw-m440i-xdrive-gran-coupe/Qk1XIE00NDBpIHhEcml2ZSBHcmFuIENvdXDDqQ==/?price=1413966" xr:uid="{F0CD8CB7-8D0D-40A0-8E61-D6D4EA237040}"/>
    <hyperlink ref="B223" r:id="rId222" display="https://www.carmag.co.za/car-price-guide-view/bmw-m440i-xdrive-convertible/Qk1XIE00NDBpIHhEcml2ZSBDb252ZXJ0aWJsZQ==/?price=1439117" xr:uid="{785AE75D-416C-4CEE-BD8C-BC0F383574EB}"/>
    <hyperlink ref="B224" r:id="rId223" display="https://www.carmag.co.za/car-price-guide-view/mercedes-amg-cla45-s-4matic/TWVyY2VkZXMtQU1HIENMQTQ1IFMgNE1hdGljKw==/?price=1466237" xr:uid="{2824D944-565E-4CF4-AF9A-9DAA91550611}"/>
    <hyperlink ref="B225" r:id="rId224" display="https://www.carmag.co.za/car-price-guide-view/audi-a7-sportback-55tfsi-quattro/QXVkaSBBNyBTcG9ydGJhY2sgNTVURlNJIHF1YXR0cm8=/?price=1469700" xr:uid="{B0F46D7C-6854-4077-A534-1F32B2D0C299}"/>
    <hyperlink ref="B226" r:id="rId225" display="https://www.carmag.co.za/car-price-guide-view/mercedes-amg-c43-cabriolet-4matic/TWVyY2VkZXMtQU1HIEM0MyBDYWJyaW9sZXQgNE1hdGlj/?price=1489495" xr:uid="{847D63EA-1E6E-484E-BDF0-CBF54121724A}"/>
    <hyperlink ref="B227" r:id="rId226" display="https://www.carmag.co.za/car-price-guide-view/bmw-m2-coupe/Qk1XIE0yIENvdXDDqQ==/?price=1503975" xr:uid="{31A3779F-ABC6-4B91-A793-78724509D31F}"/>
    <hyperlink ref="B228" r:id="rId227" display="https://www.carmag.co.za/car-price-guide-view/audi-a7-sportback-55tfsi-quattro-s-line/QXVkaSBBNyBTcG9ydGJhY2sgNTVURlNJIHF1YXR0cm8gUyBsaW5l/?price=1505980" xr:uid="{4F88BE55-F8C5-4DF3-A437-4339FB4D3D03}"/>
    <hyperlink ref="B229" r:id="rId228" display="https://www.carmag.co.za/car-price-guide-view/porsche-718-cayman-gts-4-0/UG9yc2NoZSA3MTggQ2F5bWFuIEdUUyA0LjA=/?price=1549000" xr:uid="{8302C70C-BD2C-40B2-B31A-54871ADBF126}"/>
    <hyperlink ref="B230" r:id="rId229" display="https://www.carmag.co.za/car-price-guide-view/audi-rs5-coupe-quattro/QXVkaSBSUzUgQ291cMOpIHF1YXR0cm8=/?price=1552700" xr:uid="{34F4F377-C845-484A-8EDD-01F303784E64}"/>
    <hyperlink ref="B231" r:id="rId230" display="https://www.carmag.co.za/car-price-guide-view/audi-rs5-sportback-quattro/QXVkaSBSUzUgU3BvcnRiYWNrIHF1YXR0cm8=/?price=1567700" xr:uid="{1D2EAF39-A1EB-4E76-9F34-42A5A8992ED3}"/>
    <hyperlink ref="B232" r:id="rId231" display="https://www.carmag.co.za/car-price-guide-view/audi-s6-tfsi-quattro/QXVkaSBTNiBURlNJIHF1YXR0cm8=/?price=1586900" xr:uid="{B9B464AC-6204-4699-A002-042E5A0197D0}"/>
    <hyperlink ref="B233" r:id="rId232" display="https://www.carmag.co.za/car-price-guide-view/porsche-718-boxster-gts-4-0/UG9yc2NoZSA3MTggQm94c3RlciBHVFMgNC4w/?price=1589000" xr:uid="{8E7324F3-22D9-4C49-AE3A-0A48873878A0}"/>
    <hyperlink ref="B234" r:id="rId233" display="https://www.carmag.co.za/car-price-guide-view/lexus-rc-f/TGV4dXMgUkMgRg==/?price=1615000" xr:uid="{6234D851-BD9B-4809-A6EA-F60C294D4AC5}"/>
    <hyperlink ref="B235" r:id="rId234" display="https://www.carmag.co.za/car-price-guide-view/bmw-i4-m50/Qk1XIGk0IE01MA==/?price=1637900" xr:uid="{8E1B5CAA-2064-42AA-B2A0-472D786553EC}"/>
    <hyperlink ref="B236" r:id="rId235" display="https://www.carmag.co.za/car-price-guide-view/bmw-m550i-xdrive/Qk1XIE01NTBpIHhEcml2ZQ==/?price=1647922" xr:uid="{2EE680FE-1105-4146-BE0A-AB3B8969F6C5}"/>
    <hyperlink ref="B237" r:id="rId236" display="https://www.carmag.co.za/car-price-guide-view/porsche-panamera/UG9yc2NoZSBQYW5hbWVyYQ==/?price=1669000" xr:uid="{74944555-98F3-47E3-B24B-617EE2B68054}"/>
    <hyperlink ref="B238" r:id="rId237" display="https://www.carmag.co.za/car-price-guide-view/audi-s7-tfsi-sportback-quattro/QXVkaSBTNyBURlNJIFNwb3J0YmFjayBxdWF0dHJv/?price=1699300" xr:uid="{1344BB0C-6AAB-4F85-BE42-4E5266E37E55}"/>
    <hyperlink ref="B239" r:id="rId238" display="https://www.carmag.co.za/car-price-guide-view/porsche-panamera-4/UG9yc2NoZSBQYW5hbWVyYSA0/?price=1770000" xr:uid="{7C6EB036-F896-4731-9C0A-772F68BBE525}"/>
    <hyperlink ref="B240" r:id="rId239" display="https://www.carmag.co.za/car-price-guide-view/mercedes-amg-e53-coupe-4matic/TWVyY2VkZXMtQU1HIEU1MyBDb3Vww6kgNE1hdGljKw==/?price=1780103" xr:uid="{0291FB96-4353-405D-9923-BD9B581564C2}"/>
    <hyperlink ref="B241" r:id="rId240" display="https://www.carmag.co.za/car-price-guide-view/mercedes-benz-eqe-350-sedan/TWVyY2VkZXMtQmVueiBFUUUgMzUwKyBTZWRhbg==/?price=1800000" xr:uid="{74C5E7E0-5FCB-47C4-ABF7-E34674798DA0}"/>
    <hyperlink ref="B242" r:id="rId241" display="https://www.carmag.co.za/car-price-guide-view/alfa-romeo-giulia-quadrifoglio/QWxmYSBSb21lbyBHaXVsaWEgUXVhZHJpZm9nbGlv/?price=1805900" xr:uid="{29D4B510-73AA-4EB7-A914-AAFFA6848FF7}"/>
    <hyperlink ref="B243" r:id="rId242" display="https://www.carmag.co.za/car-price-guide-view/porsche-718-spyder/UG9yc2NoZSA3MTggU3B5ZGVy/?price=1839000" xr:uid="{A0B4D2E2-E11E-4A15-B7C8-CAFE1E12F686}"/>
    <hyperlink ref="B244" r:id="rId243" display="https://www.carmag.co.za/car-price-guide-view/porsche-911-carrera-coupe/UG9yc2NoZSA5MTEgQ2FycmVyYSBDb3Vww6k=/?price=1849000" xr:uid="{32F5399B-6154-4B30-BAF1-2214D5118C1B}"/>
    <hyperlink ref="B245" r:id="rId244" display="https://www.carmag.co.za/car-price-guide-view/porsche-718-cayman-gt4/UG9yc2NoZSA3MTggQ2F5bWFuIEdUNA==/?price=1919000" xr:uid="{93FCBECA-1A5A-4802-AA94-ADC322B57BB5}"/>
    <hyperlink ref="B246" r:id="rId245" display="https://www.carmag.co.za/car-price-guide-view/jaguar-f-type-75-coupe/SmFndWFyIEYtVHlwZSA3NSBDb3Vww6k=/?price=1931000" xr:uid="{5F7BBF07-7CD5-4B45-9B9C-F2398F31E251}"/>
    <hyperlink ref="B247" r:id="rId246" display="https://www.carmag.co.za/car-price-guide-view/mercedes-amg-e53-cabriolet-4matic/TWVyY2VkZXMtQU1HIEU1MyBDYWJyaW9sZXQgNE1hdGljKw==/?price=1931407" xr:uid="{7F20E348-A0C8-4A69-925E-F1CFBA247E74}"/>
    <hyperlink ref="B248" r:id="rId247" display="https://www.carmag.co.za/car-price-guide-view/porsche-panamera-platinum-edition/UG9yc2NoZSBQYW5hbWVyYSBQbGF0aW51bSBFZGl0aW9u/?price=1961000" xr:uid="{852762A8-79D8-498A-A4DF-6E3E44680B90}"/>
    <hyperlink ref="B249" r:id="rId248" display="https://www.carmag.co.za/car-price-guide-view/porsche-911-carrera-4-coupe/UG9yc2NoZSA5MTEgQ2FycmVyYSA0IENvdXDDqQ==/?price=1979000" xr:uid="{27E4B856-BFE8-410A-A4D9-B0F167DB969F}"/>
    <hyperlink ref="B250" r:id="rId249" display="https://www.carmag.co.za/car-price-guide-view/porsche-panamera-4-executive/UG9yc2NoZSBQYW5hbWVyYSA0IGV4ZWN1dGl2ZQ==/?price=2024000" xr:uid="{BA199EED-1E4F-4BC3-8E7B-5C359E323187}"/>
    <hyperlink ref="B251" r:id="rId250" display="https://www.carmag.co.za/car-price-guide-view/bmw-m3-competition-m-xdrive/Qk1XIE0zIGNvbXBldGl0aW9uIE0geERyaXZl/?price=2040797" xr:uid="{BB942F31-19BE-4069-B1EF-F815B0BEF7FD}"/>
    <hyperlink ref="B252" r:id="rId251" display="https://www.carmag.co.za/car-price-guide-view/porsche-panamera-4-platinum-edition/UG9yc2NoZSBQYW5hbWVyYSA0IFBsYXRpbnVtIEVkaXRpb24=/?price=2063000" xr:uid="{7CE6959E-2570-4DFF-A3BF-DAF0850E6103}"/>
    <hyperlink ref="B253" r:id="rId252" display="https://www.carmag.co.za/car-price-guide-view/porsche-911-carrera-cabriolet/UG9yc2NoZSA5MTEgQ2FycmVyYSBDYWJyaW9sZXQ=/?price=2079000" xr:uid="{91C606BF-DF38-4144-B930-E84B2EA056D2}"/>
    <hyperlink ref="B254" r:id="rId253" display="https://www.carmag.co.za/car-price-guide-view/porsche-911-carrera-t/UG9yc2NoZSA5MTEgQ2FycmVyYSBU/?price=2080000" xr:uid="{502491EC-57AE-45C7-BC64-E981EBD23DE3}"/>
    <hyperlink ref="B255" r:id="rId254" display="https://www.carmag.co.za/car-price-guide-view/mercedes-amg-c63-s-coupe/TWVyY2VkZXMtQU1HIEM2MyBTIENvdXDDqQ==/?price=2098389" xr:uid="{7BAF864A-D6EB-4376-B751-5A297CD29965}"/>
    <hyperlink ref="B256" r:id="rId255" display="https://www.carmag.co.za/car-price-guide-view/porsche-panamera-4-e-hybrid/UG9yc2NoZSBQYW5hbWVyYSA0IGUtaHlicmlk/?price=2119000" xr:uid="{B58AA6C8-2C0B-4AAB-A888-D907F996B457}"/>
    <hyperlink ref="B257" r:id="rId256" display="https://www.carmag.co.za/car-price-guide-view/bmw-m4-competition-coupe-m-xdrive/Qk1XIE00IGNvbXBldGl0aW9uIENvdXDDqSBNIHhEcml2ZQ==/?price=2120797" xr:uid="{233732B9-6750-49FA-9620-E56844DBE7A4}"/>
    <hyperlink ref="B258" r:id="rId257" display="https://www.carmag.co.za/car-price-guide-view/porsche-911-carrera-s-coupe/UG9yc2NoZSA5MTEgQ2FycmVyYSBTIENvdXDDqQ==/?price=2159000" xr:uid="{6318D3B9-57CD-482C-85B6-BDEB9962B2C8}"/>
    <hyperlink ref="B259" r:id="rId258" display="https://www.carmag.co.za/car-price-guide-view/bmw-740i-design-pure-excellence/Qk1XIDc0MGkgRGVzaWduIFB1cmUgRXhjZWxsZW5jZQ==/?price=2172751" xr:uid="{A47F94C5-0532-4B0A-9D4D-451D2260C6A7}"/>
    <hyperlink ref="B260" r:id="rId259" display="https://www.carmag.co.za/car-price-guide-view/porsche-taycan/UG9yc2NoZSBUYXljYW4=/?price=2179000" xr:uid="{5DD9FCE9-3AE6-4FF8-81A2-67AFFCB316FE}"/>
    <hyperlink ref="B261" r:id="rId260" display="https://www.carmag.co.za/car-price-guide-view/mercedes-amg-eqe-43-4matic-sedan/TWVyY2VkZXMtQU1HIEVRRSA0MyA0TWF0aWMgU2VkYW4=/?price=2200000" xr:uid="{BDEDEE07-E526-444B-908E-0CE9BB0F45FB}"/>
    <hyperlink ref="B262" r:id="rId261" display="https://www.carmag.co.za/car-price-guide-view/bmw-m4-competition-convertible-m-xdrive/Qk1XIE00IGNvbXBldGl0aW9uIENvbnZlcnRpYmxlIE0geERyaXZl/?price=2201556" xr:uid="{C9E059C2-1296-4CD6-801D-8F23311134FD}"/>
    <hyperlink ref="B263" r:id="rId262" display="https://www.carmag.co.za/car-price-guide-view/mercedes-amg-c63-s-cabriolet/TWVyY2VkZXMtQU1HIEM2MyBTIENhYnJpb2xldA==/?price=2204756" xr:uid="{99235596-8AC2-48D3-919A-E882FF4A00E0}"/>
    <hyperlink ref="B264" r:id="rId263" display="https://www.carmag.co.za/car-price-guide-view/porsche-911-targa-4/UG9yc2NoZSA5MTEgdGFyZ2EgNA==/?price=2209000" xr:uid="{059832CF-369B-48EC-A2A4-D0DA3923757F}"/>
    <hyperlink ref="B265" r:id="rId264" display="https://www.carmag.co.za/car-price-guide-view/bmw-740i-m-sport/Qk1XIDc0MGkgTSBTcG9ydA==/?price=2247751" xr:uid="{0B91C4FA-065F-4161-B646-7948AF866926}"/>
    <hyperlink ref="B266" r:id="rId265" display="https://www.carmag.co.za/car-price-guide-view/maserati-ghibli-gt/TWFzZXJhdGkgR2hpYmxpIEdU/?price=2250000" xr:uid="{0ADB8234-2CC1-4647-8972-57E4AAA3B818}"/>
    <hyperlink ref="B267" r:id="rId266" display="https://www.carmag.co.za/car-price-guide-view/bmw-m850i-xdrive-gran-coupe/Qk1XIE04NTBpIHhEcml2ZSBHcmFuIENvdXDDqQ==/?price=2252922" xr:uid="{46D4AFCD-D3BD-4B0C-96B9-DF9F01CC725A}"/>
    <hyperlink ref="B268" r:id="rId267" display="https://www.carmag.co.za/car-price-guide-view/porsche-911-carrera-4s-coupe/UG9yc2NoZSA5MTEgQ2FycmVyYSA0UyBDb3Vww6k=/?price=2289000" xr:uid="{047B230B-0D6D-47D6-BB03-EEAC79B11FB9}"/>
    <hyperlink ref="B269" r:id="rId268" display="https://www.carmag.co.za/car-price-guide-view/bmw-740d-xdrive-design-pure-excellence/Qk1XIDc0MGQgeERyaXZlIERlc2lnbiBQdXJlIEV4Y2VsbGVuY2U=/?price=2293207" xr:uid="{F774840A-E250-4C63-B747-556BAA547BB3}"/>
    <hyperlink ref="B270" r:id="rId269" display="https://www.carmag.co.za/car-price-guide-view/bmw-m850i-xdrive-coupe/Qk1XIE04NTBpIHhEcml2ZSBDb3Vww6k=/?price=2302922" xr:uid="{3F1A80F5-72EE-4560-B5E4-87138D25CDC6}"/>
    <hyperlink ref="B271" r:id="rId270" display="https://www.carmag.co.za/car-price-guide-view/porsche-panamera-4-e-hybrid-platinum-edition/UG9yc2NoZSBQYW5hbWVyYSA0IGUtaHlicmlkIFBsYXRpbnVtIEVkaXRpb24=/?price=2335000" xr:uid="{B7B683B8-EE58-4C7B-A911-327660C8DCEC}"/>
    <hyperlink ref="B272" r:id="rId271" display="https://www.carmag.co.za/car-price-guide-view/porsche-panamera-4-e-hybrid-executive/UG9yc2NoZSBQYW5hbWVyYSA0IGUtaHlicmlkIGV4ZWN1dGl2ZQ==/?price=2359000" xr:uid="{1E46B4E1-F579-4BED-A669-FF7B549926D0}"/>
    <hyperlink ref="B273" r:id="rId272" display="https://www.carmag.co.za/car-price-guide-view/audi-rs7-sportback-quattro/QXVkaSBSUzcgU3BvcnRiYWNrIHF1YXR0cm8=/?price=2366400" xr:uid="{6933D472-39EA-4243-AF80-6D0BD947AF5E}"/>
    <hyperlink ref="B274" r:id="rId273" display="https://www.carmag.co.za/car-price-guide-view/bmw-740d-xdrive-m-sport/Qk1XIDc0MGQgeERyaXZlIE0gU3BvcnQ=/?price=2368207" xr:uid="{8E2E9E7E-F1B1-4257-BA27-550D506B387F}"/>
    <hyperlink ref="B275" r:id="rId274" display="https://www.carmag.co.za/car-price-guide-view/lexus-lc-500-coupe/TGV4dXMgTEMgNTAwIENvdXDDqQ==/?price=2371000" xr:uid="{9A156DCB-F4D0-49EF-A199-2C8D63B0A1B4}"/>
    <hyperlink ref="B276" r:id="rId275" display="https://www.carmag.co.za/car-price-guide-view/porsche-911-carrera-s-cabriolet/UG9yc2NoZSA5MTEgQ2FycmVyYSBTIENhYnJpb2xldA==/?price=2389000" xr:uid="{CCDA1A01-3C01-447F-9FD0-21CFE239CA53}"/>
    <hyperlink ref="B277" r:id="rId276" display="https://www.carmag.co.za/car-price-guide-view/lexus-ls-500-f-sport/TGV4dXMgTFMgNTAwIEYgU3BvcnQ=/?price=2397600" xr:uid="{DCE0115B-25BA-46D9-8EC3-A25E2F1EF3F2}"/>
    <hyperlink ref="B278" r:id="rId277" display="https://www.carmag.co.za/car-price-guide-view/mercedes-benz-s350d-l/TWVyY2VkZXMtQmVueiBTMzUwZCBM/?price=2435939" xr:uid="{66EEF53F-29FC-434D-9D1B-34685F94F92F}"/>
    <hyperlink ref="B279" r:id="rId278" display="https://www.carmag.co.za/car-price-guide-view/porsche-911-carrera-gts-coupe/UG9yc2NoZSA5MTEgQ2FycmVyYSBHVFMgQ291cMOp/?price=2449000" xr:uid="{C41621A0-E637-452F-B175-E4CC53A5A313}"/>
    <hyperlink ref="B280" r:id="rId279" display="https://www.carmag.co.za/car-price-guide-view/bmw-m850i-xdrive-convertible/Qk1XIE04NTBpIHhEcml2ZSBDb252ZXJ0aWJsZQ==/?price=2452922" xr:uid="{ED5D1723-EAA0-491C-9C36-90B62A11E9EA}"/>
    <hyperlink ref="B281" r:id="rId280" display="https://www.carmag.co.za/car-price-guide-view/porsche-panamera-gts/UG9yc2NoZSBQYW5hbWVyYSBHVFM=/?price=2463000" xr:uid="{672D3088-EB6A-4D15-B1C3-CA5A59D13B4B}"/>
    <hyperlink ref="B282" r:id="rId281" display="https://www.carmag.co.za/car-price-guide-view/bmw-m5-competition/Qk1XIE01IGNvbXBldGl0aW9u/?price=2472466" xr:uid="{14CA666F-3750-4ED7-BC0C-C25A971B147D}"/>
    <hyperlink ref="B283" r:id="rId282" display="https://www.carmag.co.za/car-price-guide-view/porsche-panamera-4s-e-hybrid/UG9yc2NoZSBQYW5hbWVyYSA0UyBlLWh5YnJpZA==/?price=2479000" xr:uid="{CCD650F9-7C85-4AEE-9BC1-00C0A177A414}"/>
    <hyperlink ref="B284" r:id="rId283" display="https://www.carmag.co.za/car-price-guide-view/mercedes-benz-s350d-l-amg-line/TWVyY2VkZXMtQmVueiBTMzUwZCBMIEFNRyBMaW5l/?price=2512639" xr:uid="{64D2B74C-8BE8-4721-9B75-E50C3761E1F2}"/>
    <hyperlink ref="B285" r:id="rId284" display="https://www.carmag.co.za/car-price-guide-view/lexus-lc-500-convertible/TGV4dXMgTEMgNTAwIENvbnZlcnRpYmxl/?price=2513500" xr:uid="{1AD2E40A-7FBC-4299-A89C-AFA6D5A63F98}"/>
    <hyperlink ref="B286" r:id="rId285" display="https://www.carmag.co.za/car-price-guide-view/porsche-taycan-4s/UG9yc2NoZSBUYXljYW4gNFM=/?price=2519000" xr:uid="{BCFFCC87-0B27-4FC3-85EE-130AE78B46F4}"/>
    <hyperlink ref="B287" r:id="rId286" display="https://www.carmag.co.za/car-price-guide-view/lexus-ls-500h/TGV4dXMgTFMgNTAwaA==/?price=2525100" xr:uid="{AD8B7BBE-A480-4801-84F2-79C11CCEB94C}"/>
    <hyperlink ref="B288" r:id="rId287" display="https://www.carmag.co.za/car-price-guide-view/porsche-911-carrera-4-gts-coupe/UG9yc2NoZSA5MTEgQ2FycmVyYSA0IEdUUyBDb3Vww6k=/?price=2579000" xr:uid="{E8C8A610-46A9-4EB6-95E8-71C8039C1BD2}"/>
    <hyperlink ref="B289" r:id="rId288" display="https://www.carmag.co.za/car-price-guide-view/lexus-rc-f-track-edition/TGV4dXMgUkMgRiBUcmFjayBFZGl0aW9u/?price=2579100" xr:uid="{A95EAFFD-41A9-4251-942D-32EE2A47DF8D}"/>
    <hyperlink ref="B290" r:id="rId289" display="https://www.carmag.co.za/car-price-guide-view/porsche-718-cayman-gt4-rs/UG9yc2NoZSA3MTggQ2F5bWFuIEdUNCBSUw==/?price=2588000" xr:uid="{76584938-CA17-41D3-BC8D-9769401572A5}"/>
    <hyperlink ref="B291" r:id="rId290" display="https://www.carmag.co.za/car-price-guide-view/lexus-ls-500/TGV4dXMgTFMgNTAw/?price=2595400" xr:uid="{2744C1BD-7A80-40D0-9059-CC8323024A5B}"/>
    <hyperlink ref="B292" r:id="rId291" display="https://www.carmag.co.za/car-price-guide-view/mercedes-benz-eqs-450-sedan/TWVyY2VkZXMtQmVueiBFUVMgNDUwKyBTZWRhbg==/?price=2620500" xr:uid="{03507DC7-DE7D-41DB-BD81-B6501DBD6D64}"/>
    <hyperlink ref="B293" r:id="rId292" display="https://www.carmag.co.za/car-price-guide-view/mercedes-amg-e63-s-4matic/TWVyY2VkZXMtQU1HIEU2MyBTIDRNYXRpYys=/?price=2670479" xr:uid="{941DB7CD-43F3-4D50-9CAC-06D79630C0FC}"/>
    <hyperlink ref="B294" r:id="rId293" display="https://www.carmag.co.za/car-price-guide-view/porsche-911-carrera-gts-cabriolet/UG9yc2NoZSA5MTEgQ2FycmVyYSBHVFMgQ2FicmlvbGV0/?price=2679000" xr:uid="{7A0F6014-B7E6-489C-90E0-D73651E2079C}"/>
    <hyperlink ref="B295" r:id="rId294" display="https://www.carmag.co.za/car-price-guide-view/audi-e-tron-gt-quattro/QXVkaSBlLXRyb24gR1QgcXVhdHRybw==/?price=2715000" xr:uid="{351E3954-ACC1-427B-88D0-C883543B1761}"/>
    <hyperlink ref="B296" r:id="rId295" display="https://www.carmag.co.za/car-price-guide-view/mercedes-benz-s500-l-4matic/TWVyY2VkZXMtQmVueiBTNTAwIEwgNE1hdGlj/?price=2735064" xr:uid="{E4C0DC2A-0B9E-49D2-A524-16D5448D1F5D}"/>
    <hyperlink ref="B297" r:id="rId296" display="https://www.carmag.co.za/car-price-guide-view/jaguar-f-type-r75-coupe/SmFndWFyIEYtVHlwZSBSNzUgQ291cMOp/?price=2759000" xr:uid="{72FA58EA-1297-4901-A55F-2B2A6FD503EF}"/>
    <hyperlink ref="B298" r:id="rId297" display="https://www.carmag.co.za/car-price-guide-view/mercedes-benz-eqs-450-sedan-amg-line/TWVyY2VkZXMtQmVueiBFUVMgNDUwKyBTZWRhbiBBTUcgTGluZQ==/?price=2760500" xr:uid="{6EDB2432-67BA-4C50-A746-1DD2E782A68E}"/>
    <hyperlink ref="B299" r:id="rId298" display="https://www.carmag.co.za/car-price-guide-view/porsche-911-targa-4-gts/UG9yc2NoZSA5MTEgdGFyZ2EgNCBHVFM=/?price=2809000" xr:uid="{07016E7E-DF06-415B-82E2-E901BF9E5F28}"/>
    <hyperlink ref="B300" r:id="rId299" display="https://www.carmag.co.za/car-price-guide-view/mercedes-benz-s500-l-4matic-amg-line/TWVyY2VkZXMtQmVueiBTNTAwIEwgNE1hdGljIEFNRyBMaW5l/?price=2811764" xr:uid="{7D22B07F-6A33-466E-9DB7-742B25450A18}"/>
    <hyperlink ref="B301" r:id="rId300" display="https://www.carmag.co.za/car-price-guide-view/bmw-i7-xdrive60/Qk1XIGk3IHhEcml2ZTYw/?price=2825000" xr:uid="{8B07B985-A428-49EC-A1B4-94F63EC8FABD}"/>
    <hyperlink ref="B302" r:id="rId301" display="https://www.carmag.co.za/car-price-guide-view/maserati-quattroporte-gt/TWFzZXJhdGkgUXVhdHRyb3BvcnRlIEdU/?price=2850000" xr:uid="{169779CC-BD6D-4106-8F82-04AB9E85927A}"/>
    <hyperlink ref="B303" r:id="rId302" display="https://www.carmag.co.za/car-price-guide-view/bmw-i7-xdrive60-m-sport/Qk1XIGk3IHhEcml2ZTYwIE0gU3BvcnQ=/?price=2900000" xr:uid="{99E52179-C09C-424C-9A81-776F245A32D9}"/>
    <hyperlink ref="B304" r:id="rId303" display="https://www.carmag.co.za/car-price-guide-view/porsche-911-targa-edition-50-years-porsche-design/UG9yc2NoZSA5MTEgdGFyZ2EgRWRpdGlvbiA1MCBZZWFycyBQb3JzY2hlIERlc2lnbg==/?price=3029000" xr:uid="{D21A4AB7-D19F-4303-A814-5E91A4E11A43}"/>
    <hyperlink ref="B305" r:id="rId304" display="https://www.carmag.co.za/car-price-guide-view/porsche-taycan-gts/UG9yc2NoZSBUYXljYW4gR1RT/?price=3059000" xr:uid="{CDE6BD55-B4CD-46A5-AE77-433A91389A2B}"/>
    <hyperlink ref="B306" r:id="rId305" display="https://www.carmag.co.za/car-price-guide-view/porsche-taycan-turbo/UG9yc2NoZSBUYXljYW4gdHVyYm8=/?price=3329000" xr:uid="{2A95C888-45D2-4107-A566-BAA1A2B78121}"/>
    <hyperlink ref="B307" r:id="rId306" display="https://www.carmag.co.za/car-price-guide-view/porsche-911-gt3/UG9yc2NoZSA5MTEgR1Qz/?price=3349000" xr:uid="{4BFA15CE-3B92-421B-BC72-F20B361110FB}"/>
    <hyperlink ref="B308" r:id="rId307" display="https://www.carmag.co.za/car-price-guide-view/maserati-ghibli-trofeo/TWFzZXJhdGkgR2hpYmxpIFRyb2Zlbw==/?price=3350000" xr:uid="{83973FCE-F15B-4A20-92AC-23C957939CCB}"/>
    <hyperlink ref="B309" r:id="rId308" display="https://www.carmag.co.za/car-price-guide-view/audi-rs-e-tron-gt-quattro/QXVkaSBSUyBlLXRyb24gR1QgcXVhdHRybw==/?price=3359400" xr:uid="{F05934F7-3E58-47F0-A5AF-F19FC46C859B}"/>
    <hyperlink ref="B310" r:id="rId309" display="https://www.carmag.co.za/car-price-guide-view/bmw-m8-competition-gran-coupe/Qk1XIE04IGNvbXBldGl0aW9uIEdyYW4gQ291cMOp/?price=3372466" xr:uid="{B31E33FB-4A50-42C9-BC3B-8EC3AFC00269}"/>
    <hyperlink ref="B311" r:id="rId310" display="https://www.carmag.co.za/car-price-guide-view/porsche-panamera-turbo-s/UG9yc2NoZSBQYW5hbWVyYSB0dXJibyBT/?price=3388000" xr:uid="{72941225-03C9-42EF-BF9B-38104EEC860D}"/>
    <hyperlink ref="B312" r:id="rId311" display="https://www.carmag.co.za/car-price-guide-view/mercedes-amg-eqs-53-4matic-sedan/TWVyY2VkZXMtQU1HIEVRUyA1MyA0TWF0aWMrIFNlZGFu/?price=3415250" xr:uid="{D21BDDEF-BDCB-4204-9725-2A473048ED59}"/>
    <hyperlink ref="B313" r:id="rId312" display="https://www.carmag.co.za/car-price-guide-view/bmw-m8-competition-coupe/Qk1XIE04IGNvbXBldGl0aW9uIENvdXDDqQ==/?price=3421859" xr:uid="{88BE1E8D-EB56-4023-889B-5AC150C73A5F}"/>
    <hyperlink ref="B314" r:id="rId313" display="https://www.carmag.co.za/car-price-guide-view/maserati-quattroporte-modena/TWFzZXJhdGkgUXVhdHRyb3BvcnRlIE1vZGVuYQ==/?price=3450000" xr:uid="{9548526B-A1F4-419D-8618-EC624D94336A}"/>
    <hyperlink ref="B315" r:id="rId314" display="https://www.carmag.co.za/car-price-guide-view/audi-r8-coupe-v10-performance-quattro/QXVkaSBSOCBDb3Vww6kgVjEwIHBlcmZvcm1hbmNlIHF1YXR0cm8=/?price=3523600" xr:uid="{12C08888-86BD-4B24-AEC9-C138FDFB21F2}"/>
    <hyperlink ref="B316" r:id="rId315" display="https://www.carmag.co.za/car-price-guide-view/bmw-m8-competition-convertible/Qk1XIE04IGNvbXBldGl0aW9uIENvbnZlcnRpYmxl/?price=3572618" xr:uid="{8D1E6DA8-A283-441F-895F-9D4C9C26F819}"/>
    <hyperlink ref="B317" r:id="rId316" display="https://www.carmag.co.za/car-price-guide-view/porsche-panamera-turbo-s-e-hybrid/UG9yc2NoZSBQYW5hbWVyYSB0dXJibyBTIGUtaHlicmlk/?price=3582000" xr:uid="{9A7684B5-CC39-4471-9C70-010BA464DA52}"/>
    <hyperlink ref="B318" r:id="rId317" display="https://www.carmag.co.za/car-price-guide-view/porsche-911-turbo-coupe/UG9yc2NoZSA5MTEgdHVyYm8gQ291cMOp/?price=3669000" xr:uid="{7042DF61-4FF6-4B1E-BC5A-E56F65D4199A}"/>
    <hyperlink ref="B319" r:id="rId318" display="https://www.carmag.co.za/car-price-guide-view/mercedes-maybach-s580/TWVyY2VkZXMtTWF5YmFjaCBTNTgw/?price=3736681" xr:uid="{D897457B-015D-408E-A555-53583CA1064E}"/>
    <hyperlink ref="B320" r:id="rId319" display="https://www.carmag.co.za/car-price-guide-view/audi-r8-spyder-v10-performance-quattro/QXVkaSBSOCBTcHlkZXIgVjEwIHBlcmZvcm1hbmNlIHF1YXR0cm8=/?price=3795100" xr:uid="{3147A947-DAF0-4990-8EF0-4EDEF95E5E2B}"/>
    <hyperlink ref="B321" r:id="rId320" display="https://www.carmag.co.za/car-price-guide-view/porsche-911-turbo-cabriolet/UG9yc2NoZSA5MTEgdHVyYm8gQ2FicmlvbGV0/?price=3899000" xr:uid="{049681E3-533B-4342-AE97-6F12DD106506}"/>
    <hyperlink ref="B322" r:id="rId321" display="https://www.carmag.co.za/car-price-guide-view/porsche-taycan-turbo-s/UG9yc2NoZSBUYXljYW4gdHVyYm8gUw==/?price=3909000" xr:uid="{30B52CAD-6BC9-4480-B98F-0C04589C5954}"/>
    <hyperlink ref="B323" r:id="rId322" display="https://www.carmag.co.za/car-price-guide-view/porsche-911-dakar/UG9yc2NoZSA5MTEgRGFrYXI=/?price=4140000" xr:uid="{63C644DF-065A-4964-9A94-761C1B73300F}"/>
    <hyperlink ref="B324" r:id="rId323" display="https://www.carmag.co.za/car-price-guide-view/porsche-911-gt3-rs/UG9yc2NoZSA5MTEgR1QzIFJT/?price=4153000" xr:uid="{4B30388B-776E-4CC4-BE5C-B8A8AFCAD2F6}"/>
    <hyperlink ref="B325" r:id="rId324" display="https://www.carmag.co.za/car-price-guide-view/porsche-911-turbo-s-coupe/UG9yc2NoZSA5MTEgdHVyYm8gUyBDb3Vww6k=/?price=4179000" xr:uid="{DEE4CB4D-5F7D-40C9-8645-060454DC9DC4}"/>
    <hyperlink ref="B326" r:id="rId325" display="https://www.carmag.co.za/car-price-guide-view/porsche-911-turbo-s-cabriolet/UG9yc2NoZSA5MTEgdHVyYm8gUyBDYWJyaW9sZXQ=/?price=4409000" xr:uid="{4454C067-28F8-4575-9409-E91B31835D98}"/>
    <hyperlink ref="B327" r:id="rId326" display="https://www.carmag.co.za/car-price-guide-view/bentley-flying-spur-v8/QmVudGxleSBGbHlpbmcgU3B1ciBWOA==/?price=4420000" xr:uid="{DCA42C99-4823-4C18-9DD8-7AA4C187FAAE}"/>
    <hyperlink ref="B328" r:id="rId327" display="https://www.carmag.co.za/car-price-guide-view/maserati-quattroporte-trofeo/TWFzZXJhdGkgUXVhdHRyb3BvcnRlIFRyb2Zlbw==/?price=4500000" xr:uid="{E7CB89B5-DCFD-4BEA-A23E-B67ACAEF10F7}"/>
    <hyperlink ref="B329" r:id="rId328" display="https://www.carmag.co.za/car-price-guide-view/bentley-flying-spur-hybrid/QmVudGxleSBGbHlpbmcgU3B1ciBIeWJyaWQ=/?price=4520000" xr:uid="{C9B5A1ED-161A-4D75-82FD-8B30E50E55C4}"/>
    <hyperlink ref="B330" r:id="rId329" display="https://www.carmag.co.za/car-price-guide-view/bentley-continental-gt-v8/QmVudGxleSBDb250aW5lbnRhbCBHVCBWOA==/?price=4590000" xr:uid="{CB226EA0-8413-4EDC-B003-247CECBF006D}"/>
    <hyperlink ref="B331" r:id="rId330" display="https://www.carmag.co.za/car-price-guide-view/mercedes-maybach-s680/TWVyY2VkZXMtTWF5YmFjaCBTNjgw/?price=4656157" xr:uid="{DD5C33FE-351A-4ECD-AA68-82756F73F3C9}"/>
    <hyperlink ref="B332" r:id="rId331" display="https://www.carmag.co.za/car-price-guide-view/bentley-continental-gtc-v8/QmVudGxleSBDb250aW5lbnRhbCBHVEMgVjg=/?price=5060000" xr:uid="{8142A462-9A90-41BF-9275-B7E86E6465B4}"/>
    <hyperlink ref="B333" r:id="rId332" display="https://www.carmag.co.za/car-price-guide-view/bentley-flying-spur-v8-s/QmVudGxleSBGbHlpbmcgU3B1ciBWOCBT/?price=5100000" xr:uid="{06D39638-E8C8-49FE-8035-5882D1D6C2EA}"/>
    <hyperlink ref="B334" r:id="rId333" display="https://www.carmag.co.za/car-price-guide-view/bentley-continental-gt-s/QmVudGxleSBDb250aW5lbnRhbCBHVCBT/?price=5150000" xr:uid="{FE9EB425-25DE-4AB7-8231-1BF5E39EC714}"/>
    <hyperlink ref="B335" r:id="rId334" display="https://www.carmag.co.za/car-price-guide-view/bentley-flying-spur-hybrid-azure/QmVudGxleSBGbHlpbmcgU3B1ciBIeWJyaWQgQXp1cmU=/?price=5280000" xr:uid="{83DCD5D5-15B7-4D3A-B0F4-BC18ED4CD59C}"/>
    <hyperlink ref="B336" r:id="rId335" display="https://www.carmag.co.za/car-price-guide-view/bentley-flying-spur-v8-azure/QmVudGxleSBGbHlpbmcgU3B1ciBWOCBBenVyZQ==/?price=5320000" xr:uid="{3F6314E7-5B61-4E8F-B55E-23867DB8670B}"/>
    <hyperlink ref="B337" r:id="rId336" display="https://www.carmag.co.za/car-price-guide-view/bentley-flying-spur-speed/QmVudGxleSBGbHlpbmcgU3B1ciBTcGVlZA==/?price=5440000" xr:uid="{DD854FE8-C8BA-4C06-8554-E8E113A54BCC}"/>
    <hyperlink ref="B338" r:id="rId337" display="https://www.carmag.co.za/car-price-guide-view/lamborghini-huracan-tecnica/TGFtYm9yZ2hpbmkgSHVyYWPDoW4gVGVjbmljYQ==/?price=5475000" xr:uid="{D777CCA1-684D-4679-B90D-1B6D0ACD6C54}"/>
    <hyperlink ref="B339" r:id="rId338" display="https://www.carmag.co.za/car-price-guide-view/bentley-continental-gt-azure/QmVudGxleSBDb250aW5lbnRhbCBHVCBBenVyZQ==/?price=5520000" xr:uid="{F33CA582-EB8D-4214-92A1-A2F6E0866BA1}"/>
    <hyperlink ref="B340" r:id="rId339" display="https://www.carmag.co.za/car-price-guide-view/bentley-continental-gtc-s/QmVudGxleSBDb250aW5lbnRhbCBHVEMgUw==/?price=5680000" xr:uid="{3F7E2B38-83AD-47C3-B811-A8D611E49AAC}"/>
    <hyperlink ref="B341" r:id="rId340" display="https://www.carmag.co.za/car-price-guide-view/bentley-continental-gt-speed/QmVudGxleSBDb250aW5lbnRhbCBHVCBTcGVlZA==/?price=5690000" xr:uid="{55F94E53-29D6-4C92-BAFF-96BF35DF084A}"/>
    <hyperlink ref="B342" r:id="rId341" display="https://www.carmag.co.za/car-price-guide-view/bentley-continental-gtc-azure/QmVudGxleSBDb250aW5lbnRhbCBHVEMgQXp1cmU=/?price=6080000" xr:uid="{FC0C6591-5697-48E4-9A1A-A68431A4A9C5}"/>
    <hyperlink ref="B343" r:id="rId342" display="https://www.carmag.co.za/car-price-guide-view/bentley-continental-gt-v8-mulliner/QmVudGxleSBDb250aW5lbnRhbCBHVCBWOCBNdWxsaW5lcg==/?price=6180000" xr:uid="{D7EB6797-A857-4346-A998-6E5A6950C162}"/>
    <hyperlink ref="B344" r:id="rId343" display="https://www.carmag.co.za/car-price-guide-view/bentley-continental-gtc-speed/QmVudGxleSBDb250aW5lbnRhbCBHVEMgU3BlZWQ=/?price=6270000" xr:uid="{A54CD815-6F9E-4A8E-9DF3-295885AA9FD1}"/>
    <hyperlink ref="B345" r:id="rId344" display="https://www.carmag.co.za/car-price-guide-view/bentley-flying-spur-v8-mulliner/QmVudGxleSBGbHlpbmcgU3B1ciBWOCBNdWxsaW5lcg==/?price=6460000" xr:uid="{285D0A8C-CF09-44EA-8216-AA4947352ECB}"/>
    <hyperlink ref="B346" r:id="rId345" display="https://www.carmag.co.za/car-price-guide-view/bentley-flying-spur-hybrid-mulliner/QmVudGxleSBGbHlpbmcgU3B1ciBIeWJyaWQgTXVsbGluZXI=/?price=6560000" xr:uid="{17824297-A61D-4891-9E60-23AF6D8938D2}"/>
    <hyperlink ref="B347" r:id="rId346" display="https://www.carmag.co.za/car-price-guide-view/bentley-continental-gtc-v8-mulliner/QmVudGxleSBDb250aW5lbnRhbCBHVEMgVjggTXVsbGluZXI=/?price=6690000" xr:uid="{4F550A15-126C-466C-8B00-04AEFB7BA709}"/>
    <hyperlink ref="B348" r:id="rId347" display="https://www.carmag.co.za/car-price-guide-view/bentley-flying-spur-w12-mulliner/QmVudGxleSBGbHlpbmcgU3B1ciBXMTIgTXVsbGluZXI=/?price=6700000" xr:uid="{3DF97547-B74B-423A-AFA0-25E3FD28A420}"/>
    <hyperlink ref="B349" r:id="rId348" display="https://www.carmag.co.za/car-price-guide-view/maserati-mc20-coupe/TWFzZXJhdGkgTUMyMCBDb3Vww6k=/?price=6750000" xr:uid="{B29F3342-FCC9-4CDB-A1D6-1F0F5A3F30EC}"/>
    <hyperlink ref="B350" r:id="rId349" display="https://www.carmag.co.za/car-price-guide-view/bentley-continental-gt-w12-mulliner/QmVudGxleSBDb250aW5lbnRhbCBHVCBXMTIgTXVsbGluZXI=/?price=6770000" xr:uid="{F7C704A9-4112-4024-BF94-FC64EBB2041F}"/>
    <hyperlink ref="B351" r:id="rId350" display="https://www.carmag.co.za/car-price-guide-view/ferrari-296-gtb/RmVycmFyaSAyOTYgR1RC/?price=6804200" xr:uid="{922A63E5-1E8B-43F9-B0A7-E29FBDC3D898}"/>
    <hyperlink ref="B352" r:id="rId351" display="https://www.carmag.co.za/car-price-guide-view/bentley-continental-gtc-w12-mulliner/QmVudGxleSBDb250aW5lbnRhbCBHVEMgVzEyIE11bGxpbmVy/?price=7460000" xr:uid="{05E7115C-7EE6-403A-870D-53329B883FB5}"/>
    <hyperlink ref="B353" r:id="rId352" display="https://www.carmag.co.za/car-price-guide-view/ferrari-296-gts/RmVycmFyaSAyOTYgR1RT/?price=7494800" xr:uid="{6EA3182E-20C2-4A34-AC51-6D2C564D8B15}"/>
    <hyperlink ref="B354" r:id="rId353" display="https://www.carmag.co.za/car-price-guide-view/lamborghini-huracan-sto/TGFtYm9yZ2hpbmkgSHVyYWPDoW4gU1RP/?price=8275000" xr:uid="{53954EC0-DD9F-4109-ACA0-09194976172F}"/>
  </hyperlinks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0DAA-4CA8-439A-8D88-3BF719113D4F}">
  <dimension ref="B1:D90"/>
  <sheetViews>
    <sheetView topLeftCell="A64" workbookViewId="0">
      <selection activeCell="B96" sqref="B96"/>
    </sheetView>
  </sheetViews>
  <sheetFormatPr defaultRowHeight="14.5" x14ac:dyDescent="0.35"/>
  <cols>
    <col min="2" max="2" width="70.6328125" bestFit="1" customWidth="1"/>
    <col min="3" max="3" width="62.7265625" bestFit="1" customWidth="1"/>
    <col min="4" max="4" width="7.81640625" bestFit="1" customWidth="1"/>
  </cols>
  <sheetData>
    <row r="1" spans="2:4" x14ac:dyDescent="0.35">
      <c r="B1" s="2" t="s">
        <v>92</v>
      </c>
      <c r="C1" s="2" t="s">
        <v>94</v>
      </c>
      <c r="D1" s="2" t="s">
        <v>93</v>
      </c>
    </row>
    <row r="2" spans="2:4" ht="15" thickBot="1" x14ac:dyDescent="0.4">
      <c r="B2" s="1" t="s">
        <v>440</v>
      </c>
      <c r="C2" t="str">
        <f>TRIM(LEFT(B2, FIND("©",SUBSTITUTE(B2,"R","©",LEN(B2)-LEN(SUBSTITUTE(B2,"R",""))))-1))</f>
        <v>Renault Triber 1.0 Life</v>
      </c>
      <c r="D2">
        <f>--SUBSTITUTE(TRIM(RIGHT(B2, LEN(B2) - FIND("©",SUBSTITUTE(B2,"R","©",LEN(B2)-LEN(SUBSTITUTE(B2,"R","")))))), " ", "")</f>
        <v>203999</v>
      </c>
    </row>
    <row r="3" spans="2:4" ht="15" thickBot="1" x14ac:dyDescent="0.4">
      <c r="B3" s="1" t="s">
        <v>441</v>
      </c>
      <c r="C3" t="str">
        <f t="shared" ref="C3:C66" si="0">TRIM(LEFT(B3, FIND("©",SUBSTITUTE(B3,"R","©",LEN(B3)-LEN(SUBSTITUTE(B3,"R",""))))-1))</f>
        <v>Renault Triber 1.0 Zen</v>
      </c>
      <c r="D3">
        <f t="shared" ref="D3:D66" si="1">--SUBSTITUTE(TRIM(RIGHT(B3, LEN(B3) - FIND("©",SUBSTITUTE(B3,"R","©",LEN(B3)-LEN(SUBSTITUTE(B3,"R","")))))), " ", "")</f>
        <v>213999</v>
      </c>
    </row>
    <row r="4" spans="2:4" ht="15" thickBot="1" x14ac:dyDescent="0.4">
      <c r="B4" s="1" t="s">
        <v>442</v>
      </c>
      <c r="C4" t="str">
        <f t="shared" si="0"/>
        <v>Renault Triber 1.0 Intens</v>
      </c>
      <c r="D4">
        <f t="shared" si="1"/>
        <v>229999</v>
      </c>
    </row>
    <row r="5" spans="2:4" ht="15" thickBot="1" x14ac:dyDescent="0.4">
      <c r="B5" s="1" t="s">
        <v>443</v>
      </c>
      <c r="C5" t="str">
        <f t="shared" si="0"/>
        <v>Renault Triber 1.0 Intens auto</v>
      </c>
      <c r="D5">
        <f t="shared" si="1"/>
        <v>239999</v>
      </c>
    </row>
    <row r="6" spans="2:4" ht="15" thickBot="1" x14ac:dyDescent="0.4">
      <c r="B6" s="1" t="s">
        <v>444</v>
      </c>
      <c r="C6" t="str">
        <f t="shared" si="0"/>
        <v>Suzuki Ertiga 1.5 GA</v>
      </c>
      <c r="D6">
        <f t="shared" si="1"/>
        <v>258900</v>
      </c>
    </row>
    <row r="7" spans="2:4" ht="15" thickBot="1" x14ac:dyDescent="0.4">
      <c r="B7" s="1" t="s">
        <v>445</v>
      </c>
      <c r="C7" t="str">
        <f t="shared" si="0"/>
        <v>Toyota Rumion 1.5 S</v>
      </c>
      <c r="D7">
        <f t="shared" si="1"/>
        <v>265800</v>
      </c>
    </row>
    <row r="8" spans="2:4" ht="15" thickBot="1" x14ac:dyDescent="0.4">
      <c r="B8" s="1" t="s">
        <v>446</v>
      </c>
      <c r="C8" t="str">
        <f t="shared" si="0"/>
        <v>Toyota Rumion 1.5 SX</v>
      </c>
      <c r="D8">
        <f t="shared" si="1"/>
        <v>296100</v>
      </c>
    </row>
    <row r="9" spans="2:4" ht="15" thickBot="1" x14ac:dyDescent="0.4">
      <c r="B9" s="1" t="s">
        <v>447</v>
      </c>
      <c r="C9" t="str">
        <f t="shared" si="0"/>
        <v>Suzuki Ertiga 1.5 GL</v>
      </c>
      <c r="D9">
        <f t="shared" si="1"/>
        <v>299900</v>
      </c>
    </row>
    <row r="10" spans="2:4" ht="15" thickBot="1" x14ac:dyDescent="0.4">
      <c r="B10" s="1" t="s">
        <v>448</v>
      </c>
      <c r="C10" t="str">
        <f t="shared" si="0"/>
        <v>Toyota Rumion 1.5 SX auto</v>
      </c>
      <c r="D10">
        <f t="shared" si="1"/>
        <v>313000</v>
      </c>
    </row>
    <row r="11" spans="2:4" ht="15" thickBot="1" x14ac:dyDescent="0.4">
      <c r="B11" s="1" t="s">
        <v>449</v>
      </c>
      <c r="C11" t="str">
        <f t="shared" si="0"/>
        <v>Suzuki Ertiga 1.5 GL auto</v>
      </c>
      <c r="D11">
        <f t="shared" si="1"/>
        <v>316900</v>
      </c>
    </row>
    <row r="12" spans="2:4" ht="15" thickBot="1" x14ac:dyDescent="0.4">
      <c r="B12" s="1" t="s">
        <v>450</v>
      </c>
      <c r="C12" t="str">
        <f t="shared" si="0"/>
        <v>Toyota Rumion 1.5 TX</v>
      </c>
      <c r="D12">
        <f t="shared" si="1"/>
        <v>326400</v>
      </c>
    </row>
    <row r="13" spans="2:4" ht="15" thickBot="1" x14ac:dyDescent="0.4">
      <c r="B13" s="1" t="s">
        <v>451</v>
      </c>
      <c r="C13" t="str">
        <f t="shared" si="0"/>
        <v>Mitsubishi Xpander 1.5</v>
      </c>
      <c r="D13">
        <f t="shared" si="1"/>
        <v>339995</v>
      </c>
    </row>
    <row r="14" spans="2:4" ht="15" thickBot="1" x14ac:dyDescent="0.4">
      <c r="B14" s="1" t="s">
        <v>452</v>
      </c>
      <c r="C14" t="str">
        <f t="shared" si="0"/>
        <v>Toyota Rumion 1.5 TX auto</v>
      </c>
      <c r="D14">
        <f t="shared" si="1"/>
        <v>343200</v>
      </c>
    </row>
    <row r="15" spans="2:4" ht="15" thickBot="1" x14ac:dyDescent="0.4">
      <c r="B15" s="1" t="s">
        <v>453</v>
      </c>
      <c r="C15" t="str">
        <f t="shared" si="0"/>
        <v>Mitsubishi Xpander 1.5 auto</v>
      </c>
      <c r="D15">
        <f t="shared" si="1"/>
        <v>359995</v>
      </c>
    </row>
    <row r="16" spans="2:4" ht="15" thickBot="1" x14ac:dyDescent="0.4">
      <c r="B16" s="1" t="s">
        <v>454</v>
      </c>
      <c r="C16" t="str">
        <f t="shared" si="0"/>
        <v>Volkswagen Caddy Kombi 1.6</v>
      </c>
      <c r="D16">
        <f t="shared" si="1"/>
        <v>433400</v>
      </c>
    </row>
    <row r="17" spans="2:4" ht="15" thickBot="1" x14ac:dyDescent="0.4">
      <c r="B17" s="1" t="s">
        <v>455</v>
      </c>
      <c r="C17" t="str">
        <f t="shared" si="0"/>
        <v>Fiat Doblò Cargo Maxi 1.3 Multijet Crew Cab SX</v>
      </c>
      <c r="D17">
        <f t="shared" si="1"/>
        <v>447900</v>
      </c>
    </row>
    <row r="18" spans="2:4" ht="15" thickBot="1" x14ac:dyDescent="0.4">
      <c r="B18" s="1" t="s">
        <v>456</v>
      </c>
      <c r="C18" t="str">
        <f t="shared" si="0"/>
        <v>Opel Combo Life 1.6TD Enjoy</v>
      </c>
      <c r="D18">
        <f t="shared" si="1"/>
        <v>464900</v>
      </c>
    </row>
    <row r="19" spans="2:4" ht="15" thickBot="1" x14ac:dyDescent="0.4">
      <c r="B19" s="1" t="s">
        <v>457</v>
      </c>
      <c r="C19" t="str">
        <f t="shared" si="0"/>
        <v>Fiat Doblò Cargo Maxi 1.6 Multijet Crew Cab SX</v>
      </c>
      <c r="D19">
        <f t="shared" si="1"/>
        <v>466900</v>
      </c>
    </row>
    <row r="20" spans="2:4" ht="15" thickBot="1" x14ac:dyDescent="0.4">
      <c r="B20" s="1" t="s">
        <v>458</v>
      </c>
      <c r="C20" t="str">
        <f t="shared" si="0"/>
        <v>Fiat Doblò Combi Maxi 1.6 Multijet SX</v>
      </c>
      <c r="D20">
        <f t="shared" si="1"/>
        <v>499900</v>
      </c>
    </row>
    <row r="21" spans="2:4" ht="15" thickBot="1" x14ac:dyDescent="0.4">
      <c r="B21" s="1" t="s">
        <v>459</v>
      </c>
      <c r="C21" t="str">
        <f t="shared" si="0"/>
        <v>Volkswagen Caddy Kombi 2.0TDI</v>
      </c>
      <c r="D21">
        <f t="shared" si="1"/>
        <v>500200</v>
      </c>
    </row>
    <row r="22" spans="2:4" ht="15" thickBot="1" x14ac:dyDescent="0.4">
      <c r="B22" s="1" t="s">
        <v>460</v>
      </c>
      <c r="C22" t="str">
        <f t="shared" si="0"/>
        <v>Volkswagen Caddy 1.6</v>
      </c>
      <c r="D22">
        <f t="shared" si="1"/>
        <v>509000</v>
      </c>
    </row>
    <row r="23" spans="2:4" ht="15" thickBot="1" x14ac:dyDescent="0.4">
      <c r="B23" s="1" t="s">
        <v>461</v>
      </c>
      <c r="C23" t="str">
        <f t="shared" si="0"/>
        <v>Volkswagen Caddy Maxi Kombi 2.0TDI</v>
      </c>
      <c r="D23">
        <f t="shared" si="1"/>
        <v>528200</v>
      </c>
    </row>
    <row r="24" spans="2:4" ht="15" thickBot="1" x14ac:dyDescent="0.4">
      <c r="B24" s="1" t="s">
        <v>462</v>
      </c>
      <c r="C24" t="str">
        <f t="shared" si="0"/>
        <v>MINI Cooper Clubman</v>
      </c>
      <c r="D24">
        <f t="shared" si="1"/>
        <v>596215</v>
      </c>
    </row>
    <row r="25" spans="2:4" ht="15" thickBot="1" x14ac:dyDescent="0.4">
      <c r="B25" s="1" t="s">
        <v>463</v>
      </c>
      <c r="C25" t="str">
        <f t="shared" si="0"/>
        <v>Volkswagen Caddy 2.0TDI</v>
      </c>
      <c r="D25">
        <f t="shared" si="1"/>
        <v>602700</v>
      </c>
    </row>
    <row r="26" spans="2:4" ht="15" thickBot="1" x14ac:dyDescent="0.4">
      <c r="B26" s="1" t="s">
        <v>464</v>
      </c>
      <c r="C26" t="str">
        <f t="shared" si="0"/>
        <v>Toyota Quantum 2.8 LWB Crew cab</v>
      </c>
      <c r="D26">
        <f t="shared" si="1"/>
        <v>615900</v>
      </c>
    </row>
    <row r="27" spans="2:4" ht="15" thickBot="1" x14ac:dyDescent="0.4">
      <c r="B27" s="1" t="s">
        <v>465</v>
      </c>
      <c r="C27" t="str">
        <f t="shared" si="0"/>
        <v>Volkswagen Caddy Maxi 2.0TDI</v>
      </c>
      <c r="D27">
        <f t="shared" si="1"/>
        <v>630600</v>
      </c>
    </row>
    <row r="28" spans="2:4" ht="15" thickBot="1" x14ac:dyDescent="0.4">
      <c r="B28" s="1" t="s">
        <v>466</v>
      </c>
      <c r="C28" t="str">
        <f t="shared" si="0"/>
        <v>Toyota Hiace 2.5D-4D Bus 14-seater GL</v>
      </c>
      <c r="D28">
        <f t="shared" si="1"/>
        <v>680900</v>
      </c>
    </row>
    <row r="29" spans="2:4" ht="15" thickBot="1" x14ac:dyDescent="0.4">
      <c r="B29" s="1" t="s">
        <v>467</v>
      </c>
      <c r="C29" t="str">
        <f t="shared" si="0"/>
        <v>MINI Cooper S Clubman</v>
      </c>
      <c r="D29">
        <f t="shared" si="1"/>
        <v>691799</v>
      </c>
    </row>
    <row r="30" spans="2:4" ht="15" thickBot="1" x14ac:dyDescent="0.4">
      <c r="B30" s="1" t="s">
        <v>468</v>
      </c>
      <c r="C30" t="str">
        <f t="shared" si="0"/>
        <v>Ford Tourneo Custom 2.2TDCi LWB Ambiente</v>
      </c>
      <c r="D30">
        <f t="shared" si="1"/>
        <v>692700</v>
      </c>
    </row>
    <row r="31" spans="2:4" ht="15" thickBot="1" x14ac:dyDescent="0.4">
      <c r="B31" s="1" t="s">
        <v>469</v>
      </c>
      <c r="C31" t="str">
        <f t="shared" si="0"/>
        <v>Volkswagen Transporter 2.0TDI 81kW Crew Bus LWB 10-Seater</v>
      </c>
      <c r="D31">
        <f t="shared" si="1"/>
        <v>696800</v>
      </c>
    </row>
    <row r="32" spans="2:4" ht="15" thickBot="1" x14ac:dyDescent="0.4">
      <c r="B32" s="1" t="s">
        <v>470</v>
      </c>
      <c r="C32" t="str">
        <f t="shared" si="0"/>
        <v>Mercedes-Benz Vito 111 CDI Tourer Base</v>
      </c>
      <c r="D32">
        <f t="shared" si="1"/>
        <v>707643</v>
      </c>
    </row>
    <row r="33" spans="2:4" ht="15" thickBot="1" x14ac:dyDescent="0.4">
      <c r="B33" s="1" t="s">
        <v>471</v>
      </c>
      <c r="C33" t="str">
        <f t="shared" si="0"/>
        <v>MINI Cooper S Clubman Untold Edition</v>
      </c>
      <c r="D33">
        <f t="shared" si="1"/>
        <v>714799</v>
      </c>
    </row>
    <row r="34" spans="2:4" ht="15" thickBot="1" x14ac:dyDescent="0.4">
      <c r="B34" s="1" t="s">
        <v>472</v>
      </c>
      <c r="C34" t="str">
        <f t="shared" si="0"/>
        <v>Ford Tourneo Custom 2.2TDCi LWB Trend</v>
      </c>
      <c r="D34">
        <f t="shared" si="1"/>
        <v>720500</v>
      </c>
    </row>
    <row r="35" spans="2:4" ht="15" thickBot="1" x14ac:dyDescent="0.4">
      <c r="B35" s="1" t="s">
        <v>473</v>
      </c>
      <c r="C35" t="str">
        <f t="shared" si="0"/>
        <v>Volkswagen Transporter 2.0TDI 110kW Crew Bus LWB 5-Seater</v>
      </c>
      <c r="D35">
        <f t="shared" si="1"/>
        <v>724700</v>
      </c>
    </row>
    <row r="36" spans="2:4" ht="15" thickBot="1" x14ac:dyDescent="0.4">
      <c r="B36" s="1" t="s">
        <v>474</v>
      </c>
      <c r="C36" t="str">
        <f t="shared" si="0"/>
        <v>Subaru Outback 2.5i-Field ES</v>
      </c>
      <c r="D36">
        <f t="shared" si="1"/>
        <v>728000</v>
      </c>
    </row>
    <row r="37" spans="2:4" ht="15" thickBot="1" x14ac:dyDescent="0.4">
      <c r="B37" s="1" t="s">
        <v>475</v>
      </c>
      <c r="C37" t="str">
        <f t="shared" si="0"/>
        <v>Mercedes-Benz Vito 111 CDI Mixto Crewcab</v>
      </c>
      <c r="D37">
        <f t="shared" si="1"/>
        <v>747965</v>
      </c>
    </row>
    <row r="38" spans="2:4" ht="15" thickBot="1" x14ac:dyDescent="0.4">
      <c r="B38" s="1" t="s">
        <v>476</v>
      </c>
      <c r="C38" t="str">
        <f t="shared" si="0"/>
        <v>Toyota Quantum 2.8 LWB Bus 11-seater GL</v>
      </c>
      <c r="D38">
        <f t="shared" si="1"/>
        <v>758200</v>
      </c>
    </row>
    <row r="39" spans="2:4" ht="15" thickBot="1" x14ac:dyDescent="0.4">
      <c r="B39" s="1" t="s">
        <v>477</v>
      </c>
      <c r="C39" t="str">
        <f t="shared" si="0"/>
        <v>Hyundai Staria 2.2D Multicab</v>
      </c>
      <c r="D39">
        <f t="shared" si="1"/>
        <v>764900</v>
      </c>
    </row>
    <row r="40" spans="2:4" ht="15" thickBot="1" x14ac:dyDescent="0.4">
      <c r="B40" s="1" t="s">
        <v>478</v>
      </c>
      <c r="C40" t="str">
        <f t="shared" si="0"/>
        <v>Toyota Quantum 2.8 SLWB Bus 14-seater GL</v>
      </c>
      <c r="D40">
        <f t="shared" si="1"/>
        <v>775200</v>
      </c>
    </row>
    <row r="41" spans="2:4" ht="15" thickBot="1" x14ac:dyDescent="0.4">
      <c r="B41" s="1" t="s">
        <v>479</v>
      </c>
      <c r="C41" t="str">
        <f t="shared" si="0"/>
        <v>Ford Tourneo Custom 2.2TDCi SWB Limited</v>
      </c>
      <c r="D41">
        <f t="shared" si="1"/>
        <v>779000</v>
      </c>
    </row>
    <row r="42" spans="2:4" ht="15" thickBot="1" x14ac:dyDescent="0.4">
      <c r="B42" s="1" t="s">
        <v>480</v>
      </c>
      <c r="C42" t="str">
        <f t="shared" si="0"/>
        <v>Ford Tourneo Custom 2.0SiT LWB Trend</v>
      </c>
      <c r="D42">
        <f t="shared" si="1"/>
        <v>781100</v>
      </c>
    </row>
    <row r="43" spans="2:4" ht="15" thickBot="1" x14ac:dyDescent="0.4">
      <c r="B43" s="1" t="s">
        <v>481</v>
      </c>
      <c r="C43" t="str">
        <f t="shared" si="0"/>
        <v>Subaru Outback 2.5i-Touring ES</v>
      </c>
      <c r="D43">
        <f t="shared" si="1"/>
        <v>788000</v>
      </c>
    </row>
    <row r="44" spans="2:4" ht="15" thickBot="1" x14ac:dyDescent="0.4">
      <c r="B44" s="1" t="s">
        <v>482</v>
      </c>
      <c r="C44" t="str">
        <f t="shared" si="0"/>
        <v>Toyota Quantum 2.8 SLWB Bus 14-seater GL auto</v>
      </c>
      <c r="D44">
        <f t="shared" si="1"/>
        <v>793600</v>
      </c>
    </row>
    <row r="45" spans="2:4" ht="15" thickBot="1" x14ac:dyDescent="0.4">
      <c r="B45" s="1" t="s">
        <v>483</v>
      </c>
      <c r="C45" t="str">
        <f t="shared" si="0"/>
        <v>Volkswagen Transporter 2.0BiTDI 146kW Crew Bus SWB 4Motion 5-Seater</v>
      </c>
      <c r="D45">
        <f t="shared" si="1"/>
        <v>806500</v>
      </c>
    </row>
    <row r="46" spans="2:4" ht="15" thickBot="1" x14ac:dyDescent="0.4">
      <c r="B46" s="1" t="s">
        <v>484</v>
      </c>
      <c r="C46" t="str">
        <f t="shared" si="0"/>
        <v>Opel Zafira Life 2.0TD Edition</v>
      </c>
      <c r="D46">
        <f t="shared" si="1"/>
        <v>819000</v>
      </c>
    </row>
    <row r="47" spans="2:4" ht="15" thickBot="1" x14ac:dyDescent="0.4">
      <c r="B47" s="1" t="s">
        <v>485</v>
      </c>
      <c r="C47" t="str">
        <f t="shared" si="0"/>
        <v>Volkswagen Transporter 2.0TDI 81kW Kombi SWB Trendline</v>
      </c>
      <c r="D47">
        <f t="shared" si="1"/>
        <v>820200</v>
      </c>
    </row>
    <row r="48" spans="2:4" ht="15" thickBot="1" x14ac:dyDescent="0.4">
      <c r="B48" s="1" t="s">
        <v>486</v>
      </c>
      <c r="C48" t="str">
        <f t="shared" si="0"/>
        <v>Kia Carnival 2.2CRDi EX</v>
      </c>
      <c r="D48">
        <f t="shared" si="1"/>
        <v>824995</v>
      </c>
    </row>
    <row r="49" spans="2:4" ht="15" thickBot="1" x14ac:dyDescent="0.4">
      <c r="B49" s="1" t="s">
        <v>487</v>
      </c>
      <c r="C49" t="str">
        <f t="shared" si="0"/>
        <v>Ford Tourneo Custom 2.0SiT SWB Limited</v>
      </c>
      <c r="D49">
        <f t="shared" si="1"/>
        <v>827300</v>
      </c>
    </row>
    <row r="50" spans="2:4" ht="15" thickBot="1" x14ac:dyDescent="0.4">
      <c r="B50" s="1" t="s">
        <v>488</v>
      </c>
      <c r="C50" t="str">
        <f t="shared" si="0"/>
        <v>Hyundai Staria 2.2D Executive 9-seater</v>
      </c>
      <c r="D50">
        <f t="shared" si="1"/>
        <v>835900</v>
      </c>
    </row>
    <row r="51" spans="2:4" ht="15" thickBot="1" x14ac:dyDescent="0.4">
      <c r="B51" s="1" t="s">
        <v>489</v>
      </c>
      <c r="C51" t="str">
        <f t="shared" si="0"/>
        <v>Hyundai Staria 2.2D Executive 11-seater</v>
      </c>
      <c r="D51">
        <f t="shared" si="1"/>
        <v>846900</v>
      </c>
    </row>
    <row r="52" spans="2:4" ht="15" thickBot="1" x14ac:dyDescent="0.4">
      <c r="B52" s="1" t="s">
        <v>490</v>
      </c>
      <c r="C52" t="str">
        <f t="shared" si="0"/>
        <v>Volkswagen Transporter 2.0TDI 110kW Kombi SWB Trendline</v>
      </c>
      <c r="D52">
        <f t="shared" si="1"/>
        <v>853200</v>
      </c>
    </row>
    <row r="53" spans="2:4" ht="15" thickBot="1" x14ac:dyDescent="0.4">
      <c r="B53" s="1" t="s">
        <v>491</v>
      </c>
      <c r="C53" t="str">
        <f t="shared" si="0"/>
        <v>MINI John Cooper Works ALL4 Clubman</v>
      </c>
      <c r="D53">
        <f t="shared" si="1"/>
        <v>855697</v>
      </c>
    </row>
    <row r="54" spans="2:4" ht="15" thickBot="1" x14ac:dyDescent="0.4">
      <c r="B54" s="1" t="s">
        <v>492</v>
      </c>
      <c r="C54" t="str">
        <f t="shared" si="0"/>
        <v>Mercedes-Benz Vito 114 CDI Mixto Pro Crewcab</v>
      </c>
      <c r="D54">
        <f t="shared" si="1"/>
        <v>857845</v>
      </c>
    </row>
    <row r="55" spans="2:4" ht="15" thickBot="1" x14ac:dyDescent="0.4">
      <c r="B55" s="1" t="s">
        <v>493</v>
      </c>
      <c r="C55" t="str">
        <f t="shared" si="0"/>
        <v>Volkswagen Transporter 2.0BiTDI 146kW Crew Bus LWB 4Motion 8-Seater</v>
      </c>
      <c r="D55">
        <f t="shared" si="1"/>
        <v>858600</v>
      </c>
    </row>
    <row r="56" spans="2:4" ht="15" thickBot="1" x14ac:dyDescent="0.4">
      <c r="B56" s="1" t="s">
        <v>494</v>
      </c>
      <c r="C56" t="str">
        <f t="shared" si="0"/>
        <v>Mercedes-Benz Vito 111 CDI Tourer Pro</v>
      </c>
      <c r="D56">
        <f t="shared" si="1"/>
        <v>865335</v>
      </c>
    </row>
    <row r="57" spans="2:4" ht="15" thickBot="1" x14ac:dyDescent="0.4">
      <c r="B57" s="1" t="s">
        <v>495</v>
      </c>
      <c r="C57" t="str">
        <f t="shared" si="0"/>
        <v>Kia Carnival 2.2CRDi EX+</v>
      </c>
      <c r="D57">
        <f t="shared" si="1"/>
        <v>904995</v>
      </c>
    </row>
    <row r="58" spans="2:4" ht="15" thickBot="1" x14ac:dyDescent="0.4">
      <c r="B58" s="1" t="s">
        <v>496</v>
      </c>
      <c r="C58" t="str">
        <f t="shared" si="0"/>
        <v>Mercedes-Benz Vito 114 CDI Mixto Pro Crewcab auto</v>
      </c>
      <c r="D58">
        <f t="shared" si="1"/>
        <v>908137</v>
      </c>
    </row>
    <row r="59" spans="2:4" ht="15" thickBot="1" x14ac:dyDescent="0.4">
      <c r="B59" s="1" t="s">
        <v>497</v>
      </c>
      <c r="C59" t="str">
        <f t="shared" si="0"/>
        <v>Opel Zafira Life 2.0TD Elegance</v>
      </c>
      <c r="D59">
        <f t="shared" si="1"/>
        <v>946900</v>
      </c>
    </row>
    <row r="60" spans="2:4" ht="15" thickBot="1" x14ac:dyDescent="0.4">
      <c r="B60" s="1" t="s">
        <v>498</v>
      </c>
      <c r="C60" t="str">
        <f t="shared" si="0"/>
        <v>Hyundai Staria 2.2D Elite</v>
      </c>
      <c r="D60">
        <f t="shared" si="1"/>
        <v>964900</v>
      </c>
    </row>
    <row r="61" spans="2:4" ht="15" thickBot="1" x14ac:dyDescent="0.4">
      <c r="B61" s="1" t="s">
        <v>499</v>
      </c>
      <c r="C61" t="str">
        <f t="shared" si="0"/>
        <v>Mercedes-Benz Vito 114 CDI Tourer Pro</v>
      </c>
      <c r="D61">
        <f t="shared" si="1"/>
        <v>993233</v>
      </c>
    </row>
    <row r="62" spans="2:4" ht="15" thickBot="1" x14ac:dyDescent="0.4">
      <c r="B62" s="1" t="s">
        <v>500</v>
      </c>
      <c r="C62" t="str">
        <f t="shared" si="0"/>
        <v>Kia Carnival 2.2CRDi SX Limited</v>
      </c>
      <c r="D62">
        <f t="shared" si="1"/>
        <v>1024995</v>
      </c>
    </row>
    <row r="63" spans="2:4" ht="15" thickBot="1" x14ac:dyDescent="0.4">
      <c r="B63" s="1" t="s">
        <v>501</v>
      </c>
      <c r="C63" t="str">
        <f t="shared" si="0"/>
        <v>Volvo V90 Cross Country B5 AWD Essential</v>
      </c>
      <c r="D63">
        <f t="shared" si="1"/>
        <v>1048700</v>
      </c>
    </row>
    <row r="64" spans="2:4" ht="15" thickBot="1" x14ac:dyDescent="0.4">
      <c r="B64" s="1" t="s">
        <v>502</v>
      </c>
      <c r="C64" t="str">
        <f t="shared" si="0"/>
        <v>Kia Carnival 2.2CRDi SXL</v>
      </c>
      <c r="D64">
        <f t="shared" si="1"/>
        <v>1049995</v>
      </c>
    </row>
    <row r="65" spans="2:4" ht="15" thickBot="1" x14ac:dyDescent="0.4">
      <c r="B65" s="1" t="s">
        <v>503</v>
      </c>
      <c r="C65" t="str">
        <f t="shared" si="0"/>
        <v>Mercedes-Benz Vito 116 CDI Tourer Pro</v>
      </c>
      <c r="D65">
        <f t="shared" si="1"/>
        <v>1054209</v>
      </c>
    </row>
    <row r="66" spans="2:4" ht="15" thickBot="1" x14ac:dyDescent="0.4">
      <c r="B66" s="1" t="s">
        <v>504</v>
      </c>
      <c r="C66" t="str">
        <f t="shared" si="0"/>
        <v>Toyota Quantum 2.8 LWB Bus 6-seater VX Premium</v>
      </c>
      <c r="D66">
        <f t="shared" si="1"/>
        <v>1107400</v>
      </c>
    </row>
    <row r="67" spans="2:4" ht="15" thickBot="1" x14ac:dyDescent="0.4">
      <c r="B67" s="1" t="s">
        <v>505</v>
      </c>
      <c r="C67" t="str">
        <f t="shared" ref="C67:C90" si="2">TRIM(LEFT(B67, FIND("©",SUBSTITUTE(B67,"R","©",LEN(B67)-LEN(SUBSTITUTE(B67,"R",""))))-1))</f>
        <v>Toyota Quantum 2.8 LWB Bus 9-seater VX Premium</v>
      </c>
      <c r="D67">
        <f t="shared" ref="D67:D90" si="3">--SUBSTITUTE(TRIM(RIGHT(B67, LEN(B67) - FIND("©",SUBSTITUTE(B67,"R","©",LEN(B67)-LEN(SUBSTITUTE(B67,"R","")))))), " ", "")</f>
        <v>1111400</v>
      </c>
    </row>
    <row r="68" spans="2:4" ht="15" thickBot="1" x14ac:dyDescent="0.4">
      <c r="B68" s="1" t="s">
        <v>506</v>
      </c>
      <c r="C68" t="str">
        <f t="shared" si="2"/>
        <v>Volvo V90 Cross Country B5 AWD Plus</v>
      </c>
      <c r="D68">
        <f t="shared" si="3"/>
        <v>1128700</v>
      </c>
    </row>
    <row r="69" spans="2:4" ht="15" thickBot="1" x14ac:dyDescent="0.4">
      <c r="B69" s="1" t="s">
        <v>507</v>
      </c>
      <c r="C69" t="str">
        <f t="shared" si="2"/>
        <v>Hyundai Staria 2.2D Luxury</v>
      </c>
      <c r="D69">
        <f t="shared" si="3"/>
        <v>1160900</v>
      </c>
    </row>
    <row r="70" spans="2:4" ht="15" thickBot="1" x14ac:dyDescent="0.4">
      <c r="B70" s="1" t="s">
        <v>508</v>
      </c>
      <c r="C70" t="str">
        <f t="shared" si="2"/>
        <v>Volvo V90 Cross Country B5 AWD Ultimate</v>
      </c>
      <c r="D70">
        <f t="shared" si="3"/>
        <v>1165700</v>
      </c>
    </row>
    <row r="71" spans="2:4" ht="15" thickBot="1" x14ac:dyDescent="0.4">
      <c r="B71" s="1" t="s">
        <v>509</v>
      </c>
      <c r="C71" t="str">
        <f t="shared" si="2"/>
        <v>Mercedes-Benz Vito 116 CDI Tourer Select</v>
      </c>
      <c r="D71">
        <f t="shared" si="3"/>
        <v>1243411</v>
      </c>
    </row>
    <row r="72" spans="2:4" ht="15" thickBot="1" x14ac:dyDescent="0.4">
      <c r="B72" s="1" t="s">
        <v>510</v>
      </c>
      <c r="C72" t="str">
        <f t="shared" si="2"/>
        <v>Mercedes-Benz V220d</v>
      </c>
      <c r="D72">
        <f t="shared" si="3"/>
        <v>1285562</v>
      </c>
    </row>
    <row r="73" spans="2:4" ht="15" thickBot="1" x14ac:dyDescent="0.4">
      <c r="B73" s="1" t="s">
        <v>511</v>
      </c>
      <c r="C73" t="str">
        <f t="shared" si="2"/>
        <v>Mercedes-Benz Vito 119 CDI Tourer Select</v>
      </c>
      <c r="D73">
        <f t="shared" si="3"/>
        <v>1287532</v>
      </c>
    </row>
    <row r="74" spans="2:4" ht="15" thickBot="1" x14ac:dyDescent="0.4">
      <c r="B74" s="1" t="s">
        <v>512</v>
      </c>
      <c r="C74" t="str">
        <f t="shared" si="2"/>
        <v>Volkswagen Caravelle 2.0BiTDI 146kW Highline 4Motion</v>
      </c>
      <c r="D74">
        <f t="shared" si="3"/>
        <v>1353700</v>
      </c>
    </row>
    <row r="75" spans="2:4" ht="15" thickBot="1" x14ac:dyDescent="0.4">
      <c r="B75" s="1" t="s">
        <v>513</v>
      </c>
      <c r="C75" t="str">
        <f t="shared" si="2"/>
        <v>Mercedes-Benz V220d AMG Line</v>
      </c>
      <c r="D75">
        <f t="shared" si="3"/>
        <v>1366205</v>
      </c>
    </row>
    <row r="76" spans="2:4" ht="15" thickBot="1" x14ac:dyDescent="0.4">
      <c r="B76" s="1" t="s">
        <v>514</v>
      </c>
      <c r="C76" t="str">
        <f t="shared" si="2"/>
        <v>Mercedes-Benz V250d</v>
      </c>
      <c r="D76">
        <f t="shared" si="3"/>
        <v>1373835</v>
      </c>
    </row>
    <row r="77" spans="2:4" ht="15" thickBot="1" x14ac:dyDescent="0.4">
      <c r="B77" s="1" t="s">
        <v>515</v>
      </c>
      <c r="C77" t="str">
        <f t="shared" si="2"/>
        <v>Volkswagen California 2.0BiTDI 146kW Coast 4Motion</v>
      </c>
      <c r="D77">
        <f t="shared" si="3"/>
        <v>1410700</v>
      </c>
    </row>
    <row r="78" spans="2:4" ht="15" thickBot="1" x14ac:dyDescent="0.4">
      <c r="B78" s="1" t="s">
        <v>516</v>
      </c>
      <c r="C78" t="str">
        <f t="shared" si="2"/>
        <v>Audi RS4 Avant quattro</v>
      </c>
      <c r="D78">
        <f t="shared" si="3"/>
        <v>1448400</v>
      </c>
    </row>
    <row r="79" spans="2:4" ht="15" thickBot="1" x14ac:dyDescent="0.4">
      <c r="B79" s="1" t="s">
        <v>517</v>
      </c>
      <c r="C79" t="str">
        <f t="shared" si="2"/>
        <v>Mercedes-Benz V250d AMG Line</v>
      </c>
      <c r="D79">
        <f t="shared" si="3"/>
        <v>1454478</v>
      </c>
    </row>
    <row r="80" spans="2:4" ht="15" thickBot="1" x14ac:dyDescent="0.4">
      <c r="B80" s="1" t="s">
        <v>518</v>
      </c>
      <c r="C80" t="str">
        <f t="shared" si="2"/>
        <v>Mercedes-Benz V220d Avantgarde</v>
      </c>
      <c r="D80">
        <f t="shared" si="3"/>
        <v>1653741</v>
      </c>
    </row>
    <row r="81" spans="2:4" ht="15" thickBot="1" x14ac:dyDescent="0.4">
      <c r="B81" s="1" t="s">
        <v>519</v>
      </c>
      <c r="C81" t="str">
        <f t="shared" si="2"/>
        <v>Mercedes-Benz V250d Avantgarde</v>
      </c>
      <c r="D81">
        <f t="shared" si="3"/>
        <v>1707228</v>
      </c>
    </row>
    <row r="82" spans="2:4" ht="15" thickBot="1" x14ac:dyDescent="0.4">
      <c r="B82" s="1" t="s">
        <v>520</v>
      </c>
      <c r="C82" t="str">
        <f t="shared" si="2"/>
        <v>Mercedes-Benz V220d Avantgarde AMG Line</v>
      </c>
      <c r="D82">
        <f t="shared" si="3"/>
        <v>1717109</v>
      </c>
    </row>
    <row r="83" spans="2:4" ht="15" thickBot="1" x14ac:dyDescent="0.4">
      <c r="B83" s="1" t="s">
        <v>521</v>
      </c>
      <c r="C83" t="str">
        <f t="shared" si="2"/>
        <v>Mercedes-Benz V300d Avantgarde</v>
      </c>
      <c r="D83">
        <f t="shared" si="3"/>
        <v>1754412</v>
      </c>
    </row>
    <row r="84" spans="2:4" ht="15" thickBot="1" x14ac:dyDescent="0.4">
      <c r="B84" s="1" t="s">
        <v>522</v>
      </c>
      <c r="C84" t="str">
        <f t="shared" si="2"/>
        <v>Mercedes-Benz V250d Avantgarde AMG Line</v>
      </c>
      <c r="D84">
        <f t="shared" si="3"/>
        <v>1770596</v>
      </c>
    </row>
    <row r="85" spans="2:4" ht="15" thickBot="1" x14ac:dyDescent="0.4">
      <c r="B85" s="1" t="s">
        <v>523</v>
      </c>
      <c r="C85" t="str">
        <f t="shared" si="2"/>
        <v>Mercedes-Benz V300d Avantgarde AMG Line</v>
      </c>
      <c r="D85">
        <f t="shared" si="3"/>
        <v>1843022</v>
      </c>
    </row>
    <row r="86" spans="2:4" ht="15" thickBot="1" x14ac:dyDescent="0.4">
      <c r="B86" s="1" t="s">
        <v>524</v>
      </c>
      <c r="C86" t="str">
        <f t="shared" si="2"/>
        <v>Mercedes-Benz V300d Exclusive</v>
      </c>
      <c r="D86">
        <f t="shared" si="3"/>
        <v>2042471</v>
      </c>
    </row>
    <row r="87" spans="2:4" ht="15" thickBot="1" x14ac:dyDescent="0.4">
      <c r="B87" s="1" t="s">
        <v>525</v>
      </c>
      <c r="C87" t="str">
        <f t="shared" si="2"/>
        <v>Audi RS6 Avant quattro</v>
      </c>
      <c r="D87">
        <f t="shared" si="3"/>
        <v>2254600</v>
      </c>
    </row>
    <row r="88" spans="2:4" ht="15" thickBot="1" x14ac:dyDescent="0.4">
      <c r="B88" s="1" t="s">
        <v>526</v>
      </c>
      <c r="C88" t="str">
        <f t="shared" si="2"/>
        <v>Porsche Taycan 4 Cross Turismo</v>
      </c>
      <c r="D88">
        <f t="shared" si="3"/>
        <v>2449000</v>
      </c>
    </row>
    <row r="89" spans="2:4" ht="15" thickBot="1" x14ac:dyDescent="0.4">
      <c r="B89" s="1" t="s">
        <v>527</v>
      </c>
      <c r="C89" t="str">
        <f t="shared" si="2"/>
        <v>Porsche Taycan 4S Cross Turismo</v>
      </c>
      <c r="D89">
        <f t="shared" si="3"/>
        <v>2549000</v>
      </c>
    </row>
    <row r="90" spans="2:4" ht="15" thickBot="1" x14ac:dyDescent="0.4">
      <c r="B90" s="1" t="s">
        <v>528</v>
      </c>
      <c r="C90" t="str">
        <f t="shared" si="2"/>
        <v>Porsche Taycan turbo Cross Turismo</v>
      </c>
      <c r="D90">
        <f t="shared" si="3"/>
        <v>3359000</v>
      </c>
    </row>
  </sheetData>
  <hyperlinks>
    <hyperlink ref="B2" r:id="rId1" display="https://www.carmag.co.za/car-price-guide-view/renault-triber-1-0-life/UmVuYXVsdCBUcmliZXIgMS4wIExpZmU=/?price=203999" xr:uid="{22937655-1627-424C-983A-EE8C54C18016}"/>
    <hyperlink ref="B3" r:id="rId2" display="https://www.carmag.co.za/car-price-guide-view/renault-triber-1-0-zen/UmVuYXVsdCBUcmliZXIgMS4wIFplbg==/?price=213999" xr:uid="{EA8FC57B-99C6-450C-A506-E9F89B3532C0}"/>
    <hyperlink ref="B4" r:id="rId3" display="https://www.carmag.co.za/car-price-guide-view/renault-triber-1-0-intens/UmVuYXVsdCBUcmliZXIgMS4wIEludGVucw==/?price=229999" xr:uid="{C5EC6FAA-8307-4832-80C0-2178D95FA3FD}"/>
    <hyperlink ref="B5" r:id="rId4" display="https://www.carmag.co.za/car-price-guide-view/renault-triber-1-0-intens-auto/UmVuYXVsdCBUcmliZXIgMS4wIEludGVucyBhdXRv/?price=239999" xr:uid="{2E150D90-6615-4744-85EC-2736DE8CFEB9}"/>
    <hyperlink ref="B6" r:id="rId5" display="https://www.carmag.co.za/car-price-guide-view/suzuki-ertiga-1-5-ga/U3V6dWtpIEVydGlnYSAxLjUgR0E=/?price=258900" xr:uid="{093D9752-8F9D-4E1E-917D-3A308A09CD08}"/>
    <hyperlink ref="B7" r:id="rId6" display="https://www.carmag.co.za/car-price-guide-view/toyota-rumion-1-5-s/VG95b3RhIFJ1bWlvbiAxLjUgUw==/?price=265800" xr:uid="{37276B23-3817-4208-A23B-52BB3CD72AA3}"/>
    <hyperlink ref="B8" r:id="rId7" display="https://www.carmag.co.za/car-price-guide-view/toyota-rumion-1-5-sx/VG95b3RhIFJ1bWlvbiAxLjUgU1g=/?price=296100" xr:uid="{2CB43859-49CC-4CCE-9AB4-82C70B67A6BE}"/>
    <hyperlink ref="B9" r:id="rId8" display="https://www.carmag.co.za/car-price-guide-view/suzuki-ertiga-1-5-gl/U3V6dWtpIEVydGlnYSAxLjUgR0w=/?price=299900" xr:uid="{AFA5BF97-5F94-45FE-8C53-BDA6162BE88E}"/>
    <hyperlink ref="B10" r:id="rId9" display="https://www.carmag.co.za/car-price-guide-view/toyota-rumion-1-5-sx-auto/VG95b3RhIFJ1bWlvbiAxLjUgU1ggYXV0bw==/?price=313000" xr:uid="{738A6B02-EEF5-43F7-AA1A-097607F9A186}"/>
    <hyperlink ref="B11" r:id="rId10" display="https://www.carmag.co.za/car-price-guide-view/suzuki-ertiga-1-5-gl-auto/U3V6dWtpIEVydGlnYSAxLjUgR0wgYXV0bw==/?price=316900" xr:uid="{FE6D703D-1252-4FCC-B4E5-CD72D62C1F69}"/>
    <hyperlink ref="B12" r:id="rId11" display="https://www.carmag.co.za/car-price-guide-view/toyota-rumion-1-5-tx/VG95b3RhIFJ1bWlvbiAxLjUgVFg=/?price=326400" xr:uid="{2E508D44-B1D8-4E1F-BB77-C7BF46F43128}"/>
    <hyperlink ref="B13" r:id="rId12" display="https://www.carmag.co.za/car-price-guide-view/mitsubishi-xpander-1-5/TWl0c3ViaXNoaSBYcGFuZGVyIDEuNQ==/?price=339995" xr:uid="{2DD32AB2-76D3-4459-9227-83221F4E248D}"/>
    <hyperlink ref="B14" r:id="rId13" display="https://www.carmag.co.za/car-price-guide-view/toyota-rumion-1-5-tx-auto/VG95b3RhIFJ1bWlvbiAxLjUgVFggYXV0bw==/?price=343200" xr:uid="{54B9F875-4C00-4CA4-A4CD-889B5A03CC3E}"/>
    <hyperlink ref="B15" r:id="rId14" display="https://www.carmag.co.za/car-price-guide-view/mitsubishi-xpander-1-5-auto/TWl0c3ViaXNoaSBYcGFuZGVyIDEuNSBhdXRv/?price=359995" xr:uid="{8D25DDEB-1FF6-47B4-8416-4379FD903EEF}"/>
    <hyperlink ref="B16" r:id="rId15" display="https://www.carmag.co.za/car-price-guide-view/volkswagen-caddy-kombi-1-6/Vm9sa3N3YWdlbiBDYWRkeSBLb21iaSAxLjY=/?price=433400" xr:uid="{5DC22D2A-712D-445F-BAB2-E3F15E8CCB37}"/>
    <hyperlink ref="B17" r:id="rId16" display="https://www.carmag.co.za/car-price-guide-view/fiat-doblo-cargo-maxi-1-3-multijet-crew-cab-sx/RmlhdCBEb2Jsw7IgQ2FyZ28gTWF4aSAxLjMgTXVsdGlqZXQgQ3JldyBDYWIgU1g=/?price=447900" xr:uid="{6AAAFFA8-1214-4A76-80D6-1DFBECB07C22}"/>
    <hyperlink ref="B18" r:id="rId17" display="https://www.carmag.co.za/car-price-guide-view/opel-combo-life-1-6td-enjoy/T3BlbCBDb21ibyBMaWZlIDEuNlREIEVuam95/?price=464900" xr:uid="{E2C81673-961B-4239-8697-443880193123}"/>
    <hyperlink ref="B19" r:id="rId18" display="https://www.carmag.co.za/car-price-guide-view/fiat-doblo-cargo-maxi-1-6-multijet-crew-cab-sx/RmlhdCBEb2Jsw7IgQ2FyZ28gTWF4aSAxLjYgTXVsdGlqZXQgQ3JldyBDYWIgU1g=/?price=466900" xr:uid="{AC2B06C5-C125-4192-98EB-D1602AA94A07}"/>
    <hyperlink ref="B20" r:id="rId19" display="https://www.carmag.co.za/car-price-guide-view/fiat-doblo-combi-maxi-1-6-multijet-sx/RmlhdCBEb2Jsw7IgQ29tYmkgTWF4aSAxLjYgTXVsdGlqZXQgU1g=/?price=499900" xr:uid="{2988ECFF-B263-45F3-BD32-BB78DD7BB0D7}"/>
    <hyperlink ref="B21" r:id="rId20" display="https://www.carmag.co.za/car-price-guide-view/volkswagen-caddy-kombi-2-0tdi/Vm9sa3N3YWdlbiBDYWRkeSBLb21iaSAyLjBUREk=/?price=500200" xr:uid="{01C07DCE-0969-48A3-9A19-839DC9AE5E08}"/>
    <hyperlink ref="B22" r:id="rId21" display="https://www.carmag.co.za/car-price-guide-view/volkswagen-caddy-1-6/Vm9sa3N3YWdlbiBDYWRkeSAxLjY=/?price=509000" xr:uid="{A61E6829-A6B3-4288-9D04-00F5942D9043}"/>
    <hyperlink ref="B23" r:id="rId22" display="https://www.carmag.co.za/car-price-guide-view/volkswagen-caddy-maxi-kombi-2-0tdi/Vm9sa3N3YWdlbiBDYWRkeSBNYXhpIEtvbWJpIDIuMFRESQ==/?price=528200" xr:uid="{B39C5323-D37E-4535-9184-06B688941BC5}"/>
    <hyperlink ref="B24" r:id="rId23" display="https://www.carmag.co.za/car-price-guide-view/mini-cooper-clubman/TUlOSSBDb29wZXIgQ2x1Ym1hbg==/?price=596215" xr:uid="{0A12DF1A-FDC5-43A9-9BD1-1B0F0D7BACDF}"/>
    <hyperlink ref="B25" r:id="rId24" display="https://www.carmag.co.za/car-price-guide-view/volkswagen-caddy-2-0tdi/Vm9sa3N3YWdlbiBDYWRkeSAyLjBUREk=/?price=602700" xr:uid="{9BD26B8A-0E02-4C6D-AFA1-AED95F35684B}"/>
    <hyperlink ref="B26" r:id="rId25" display="https://www.carmag.co.za/car-price-guide-view/toyota-quantum-2-8-lwb-crew-cab/VG95b3RhIFF1YW50dW0gMi44IExXQiBDcmV3IGNhYg==/?price=615900" xr:uid="{5BCB1900-B72D-4522-BA7F-D559338848B4}"/>
    <hyperlink ref="B27" r:id="rId26" display="https://www.carmag.co.za/car-price-guide-view/volkswagen-caddy-maxi-2-0tdi/Vm9sa3N3YWdlbiBDYWRkeSBNYXhpIDIuMFRESQ==/?price=630600" xr:uid="{9DF181D8-570E-4250-A38C-B733B58424D6}"/>
    <hyperlink ref="B28" r:id="rId27" display="https://www.carmag.co.za/car-price-guide-view/toyota-hiace-2-5d-4d-bus-14-seater-gl/VG95b3RhIEhpYWNlIDIuNUQtNEQgQnVzIDE0LXNlYXRlciBHTA==/?price=680900" xr:uid="{4C449A33-BCAB-4F6E-B655-356FFAF31708}"/>
    <hyperlink ref="B29" r:id="rId28" display="https://www.carmag.co.za/car-price-guide-view/mini-cooper-s-clubman/TUlOSSBDb29wZXIgUyBDbHVibWFu/?price=691799" xr:uid="{CE071718-4B16-4E33-8B1F-E7B01589889C}"/>
    <hyperlink ref="B30" r:id="rId29" display="https://www.carmag.co.za/car-price-guide-view/ford-tourneo-custom-2-2tdci-lwb-ambiente/Rm9yZCBUb3VybmVvIEN1c3RvbSAyLjJURENpIExXQiBBbWJpZW50ZQ==/?price=692700" xr:uid="{11795E37-40EB-4933-87BA-BE32BD6757D6}"/>
    <hyperlink ref="B31" r:id="rId30" display="https://www.carmag.co.za/car-price-guide-view/volkswagen-transporter-2-0tdi-81kw-crew-bus-lwb-10-seater/Vm9sa3N3YWdlbiBUcmFuc3BvcnRlciAyLjBUREkgODFrVyBDcmV3IEJ1cyBMV0IgMTAtU2VhdGVy/?price=696800" xr:uid="{2ECA9508-4E1F-44D7-8797-4D048EFABD2B}"/>
    <hyperlink ref="B32" r:id="rId31" display="https://www.carmag.co.za/car-price-guide-view/mercedes-benz-vito-111-cdi-tourer-base/TWVyY2VkZXMtQmVueiBWaXRvIDExMSBDREkgVG91cmVyIEJhc2U=/?price=707643" xr:uid="{217A3CD6-009C-424F-9F67-657B6C564551}"/>
    <hyperlink ref="B33" r:id="rId32" display="https://www.carmag.co.za/car-price-guide-view/mini-cooper-s-clubman-untold-edition/TUlOSSBDb29wZXIgUyBDbHVibWFuIFVudG9sZCBFZGl0aW9u/?price=714799" xr:uid="{E234BCD2-EF72-44B0-828C-F59F3B04853C}"/>
    <hyperlink ref="B34" r:id="rId33" display="https://www.carmag.co.za/car-price-guide-view/ford-tourneo-custom-2-2tdci-lwb-trend/Rm9yZCBUb3VybmVvIEN1c3RvbSAyLjJURENpIExXQiBUcmVuZA==/?price=720500" xr:uid="{9148DEEC-8FF0-43DB-AA6F-C62E046FEED0}"/>
    <hyperlink ref="B35" r:id="rId34" display="https://www.carmag.co.za/car-price-guide-view/volkswagen-transporter-2-0tdi-110kw-crew-bus-lwb-5-seater/Vm9sa3N3YWdlbiBUcmFuc3BvcnRlciAyLjBUREkgMTEwa1cgQ3JldyBCdXMgTFdCIDUtU2VhdGVy/?price=724700" xr:uid="{6725EE84-0BCD-4F89-BD80-0293D8B8447C}"/>
    <hyperlink ref="B36" r:id="rId35" display="https://www.carmag.co.za/car-price-guide-view/subaru-outback-2-5i-field-es/U3ViYXJ1IE91dGJhY2sgMi41aS1GaWVsZCBFUw==/?price=728000" xr:uid="{53835290-CC7C-4EDF-9214-7F15DF1B0E99}"/>
    <hyperlink ref="B37" r:id="rId36" display="https://www.carmag.co.za/car-price-guide-view/mercedes-benz-vito-111-cdi-mixto-crewcab/TWVyY2VkZXMtQmVueiBWaXRvIDExMSBDREkgTWl4dG8gQ3Jld2NhYg==/?price=747965" xr:uid="{226BF478-EC51-4EEA-9830-FBBD2C5CCAC0}"/>
    <hyperlink ref="B38" r:id="rId37" display="https://www.carmag.co.za/car-price-guide-view/toyota-quantum-2-8-lwb-bus-11-seater-gl/VG95b3RhIFF1YW50dW0gMi44IExXQiBCdXMgMTEtc2VhdGVyIEdM/?price=758200" xr:uid="{94A620A3-A207-408C-87F1-A4122422D7B7}"/>
    <hyperlink ref="B39" r:id="rId38" display="https://www.carmag.co.za/car-price-guide-view/hyundai-staria-2-2d-multicab/SHl1bmRhaSBTdGFyaWEgMi4yRCBNdWx0aWNhYg==/?price=764900" xr:uid="{A15CB68D-CFE2-4991-BAE9-B5B524FEAD46}"/>
    <hyperlink ref="B40" r:id="rId39" display="https://www.carmag.co.za/car-price-guide-view/toyota-quantum-2-8-slwb-bus-14-seater-gl/VG95b3RhIFF1YW50dW0gMi44IFNMV0IgQnVzIDE0LXNlYXRlciBHTA==/?price=775200" xr:uid="{2EBB9445-1FCC-403A-BD19-7DA1BB2E2355}"/>
    <hyperlink ref="B41" r:id="rId40" display="https://www.carmag.co.za/car-price-guide-view/ford-tourneo-custom-2-2tdci-swb-limited/Rm9yZCBUb3VybmVvIEN1c3RvbSAyLjJURENpIFNXQiBMaW1pdGVk/?price=779000" xr:uid="{48A28BF0-E3FA-4E1E-B785-68E2545FA8B6}"/>
    <hyperlink ref="B42" r:id="rId41" display="https://www.carmag.co.za/car-price-guide-view/ford-tourneo-custom-2-0sit-lwb-trend/Rm9yZCBUb3VybmVvIEN1c3RvbSAyLjBTaVQgTFdCIFRyZW5k/?price=781100" xr:uid="{8D7EC95A-5EEF-4C6A-B0BC-603A442FC32B}"/>
    <hyperlink ref="B43" r:id="rId42" display="https://www.carmag.co.za/car-price-guide-view/subaru-outback-2-5i-touring-es/U3ViYXJ1IE91dGJhY2sgMi41aS1Ub3VyaW5nIEVT/?price=788000" xr:uid="{F99A3DEC-4111-43B3-99FB-3B0A54FD7F13}"/>
    <hyperlink ref="B44" r:id="rId43" display="https://www.carmag.co.za/car-price-guide-view/toyota-quantum-2-8-slwb-bus-14-seater-gl-auto/VG95b3RhIFF1YW50dW0gMi44IFNMV0IgQnVzIDE0LXNlYXRlciBHTCBhdXRv/?price=793600" xr:uid="{4F845D19-890E-476C-ACF3-ED885708BDF9}"/>
    <hyperlink ref="B45" r:id="rId44" display="https://www.carmag.co.za/car-price-guide-view/volkswagen-transporter-2-0bitdi-146kw-crew-bus-swb-4motion-5-seater/Vm9sa3N3YWdlbiBUcmFuc3BvcnRlciAyLjBCaVRESSAxNDZrVyBDcmV3IEJ1cyBTV0IgNE1vdGlvbiA1LVNlYXRlcg==/?price=806500" xr:uid="{2869C492-D433-4775-8DA5-8FE144B1789C}"/>
    <hyperlink ref="B46" r:id="rId45" display="https://www.carmag.co.za/car-price-guide-view/opel-zafira-life-2-0td-edition/T3BlbCBaYWZpcmEgTGlmZSAyLjBURCBFZGl0aW9u/?price=819000" xr:uid="{438F9D1B-52C7-41FE-9FD9-281DCC8DFA03}"/>
    <hyperlink ref="B47" r:id="rId46" display="https://www.carmag.co.za/car-price-guide-view/volkswagen-transporter-2-0tdi-81kw-kombi-swb-trendline/Vm9sa3N3YWdlbiBUcmFuc3BvcnRlciAyLjBUREkgODFrVyBLb21iaSBTV0IgVHJlbmRsaW5l/?price=820200" xr:uid="{3B446F9A-2D52-4C24-BF7F-AF176BAD0AA6}"/>
    <hyperlink ref="B48" r:id="rId47" display="https://www.carmag.co.za/car-price-guide-view/kia-carnival-2-2crdi-ex/S2lhIENhcm5pdmFsIDIuMkNSRGkgRVg=/?price=824995" xr:uid="{1F8114C5-417B-48A4-B9D0-44D2552DFC4B}"/>
    <hyperlink ref="B49" r:id="rId48" display="https://www.carmag.co.za/car-price-guide-view/ford-tourneo-custom-2-0sit-swb-limited/Rm9yZCBUb3VybmVvIEN1c3RvbSAyLjBTaVQgU1dCIExpbWl0ZWQ=/?price=827300" xr:uid="{7FCE52E3-BDFD-4122-9399-E7EC5FF509E0}"/>
    <hyperlink ref="B50" r:id="rId49" display="https://www.carmag.co.za/car-price-guide-view/hyundai-staria-2-2d-executive-9-seater/SHl1bmRhaSBTdGFyaWEgMi4yRCBFeGVjdXRpdmUgOS1zZWF0ZXI=/?price=835900" xr:uid="{7FC74B70-5C1D-4BE2-B8E2-33CCEBE08544}"/>
    <hyperlink ref="B51" r:id="rId50" display="https://www.carmag.co.za/car-price-guide-view/hyundai-staria-2-2d-executive-11-seater/SHl1bmRhaSBTdGFyaWEgMi4yRCBFeGVjdXRpdmUgMTEtc2VhdGVy/?price=846900" xr:uid="{D8E4B5C4-2547-4901-8A33-E182902AA1E3}"/>
    <hyperlink ref="B52" r:id="rId51" display="https://www.carmag.co.za/car-price-guide-view/volkswagen-transporter-2-0tdi-110kw-kombi-swb-trendline/Vm9sa3N3YWdlbiBUcmFuc3BvcnRlciAyLjBUREkgMTEwa1cgS29tYmkgU1dCIFRyZW5kbGluZQ==/?price=853200" xr:uid="{EBC5B75F-2397-45F8-B5F3-B18D0F88D6C6}"/>
    <hyperlink ref="B53" r:id="rId52" display="https://www.carmag.co.za/car-price-guide-view/mini-john-cooper-works-all4-clubman/TUlOSSBKb2huIENvb3BlciBXb3JrcyBBTEw0IENsdWJtYW4=/?price=855697" xr:uid="{8AE27E83-9A55-4A6A-89DA-4C5D2C442679}"/>
    <hyperlink ref="B54" r:id="rId53" display="https://www.carmag.co.za/car-price-guide-view/mercedes-benz-vito-114-cdi-mixto-pro-crewcab/TWVyY2VkZXMtQmVueiBWaXRvIDExNCBDREkgTWl4dG8gUHJvIENyZXdjYWI=/?price=857845" xr:uid="{9A40B967-E01C-4EAE-A062-019425C0CF17}"/>
    <hyperlink ref="B55" r:id="rId54" display="https://www.carmag.co.za/car-price-guide-view/volkswagen-transporter-2-0bitdi-146kw-crew-bus-lwb-4motion-8-seater/Vm9sa3N3YWdlbiBUcmFuc3BvcnRlciAyLjBCaVRESSAxNDZrVyBDcmV3IEJ1cyBMV0IgNE1vdGlvbiA4LVNlYXRlcg==/?price=858600" xr:uid="{33A6E1B6-3C46-4C0D-B4C9-FEA18DA15FDF}"/>
    <hyperlink ref="B56" r:id="rId55" display="https://www.carmag.co.za/car-price-guide-view/mercedes-benz-vito-111-cdi-tourer-pro/TWVyY2VkZXMtQmVueiBWaXRvIDExMSBDREkgVG91cmVyIFBybw==/?price=865335" xr:uid="{709FC5A1-8D7E-472D-B4EF-6D9DA24A64EC}"/>
    <hyperlink ref="B57" r:id="rId56" display="https://www.carmag.co.za/car-price-guide-view/kia-carnival-2-2crdi-ex/S2lhIENhcm5pdmFsIDIuMkNSRGkgRVgr/?price=904995" xr:uid="{E882A658-D004-4392-9783-D27A541BF7AF}"/>
    <hyperlink ref="B58" r:id="rId57" display="https://www.carmag.co.za/car-price-guide-view/mercedes-benz-vito-114-cdi-mixto-pro-crewcab-auto/TWVyY2VkZXMtQmVueiBWaXRvIDExNCBDREkgTWl4dG8gUHJvIENyZXdjYWIgYXV0bw==/?price=908137" xr:uid="{D3A11265-750D-4F37-ABD4-123DA405D326}"/>
    <hyperlink ref="B59" r:id="rId58" display="https://www.carmag.co.za/car-price-guide-view/opel-zafira-life-2-0td-elegance/T3BlbCBaYWZpcmEgTGlmZSAyLjBURCBFbGVnYW5jZQ==/?price=946900" xr:uid="{08BA3778-E6C9-4A0C-AB68-CF9E5C12348E}"/>
    <hyperlink ref="B60" r:id="rId59" display="https://www.carmag.co.za/car-price-guide-view/hyundai-staria-2-2d-elite/SHl1bmRhaSBTdGFyaWEgMi4yRCBFbGl0ZQ==/?price=964900" xr:uid="{9B60F6DB-A739-4816-8DA3-F7DDC937E2AE}"/>
    <hyperlink ref="B61" r:id="rId60" display="https://www.carmag.co.za/car-price-guide-view/mercedes-benz-vito-114-cdi-tourer-pro/TWVyY2VkZXMtQmVueiBWaXRvIDExNCBDREkgVG91cmVyIFBybw==/?price=993233" xr:uid="{754BC47B-8ABE-4261-A016-0FC61A42FFC9}"/>
    <hyperlink ref="B62" r:id="rId61" display="https://www.carmag.co.za/car-price-guide-view/kia-carnival-2-2crdi-sx-limited/S2lhIENhcm5pdmFsIDIuMkNSRGkgU1ggTGltaXRlZA==/?price=1024995" xr:uid="{87640EC2-A4DD-4FA9-928B-56B768C9EB89}"/>
    <hyperlink ref="B63" r:id="rId62" display="https://www.carmag.co.za/car-price-guide-view/volvo-v90-cross-country-b5-awd-essential/Vm9sdm8gVjkwIENyb3NzIENvdW50cnkgQjUgQVdEIEVzc2VudGlhbA==/?price=1048700" xr:uid="{55000A48-6CA6-4CBE-9C81-638B88A354D6}"/>
    <hyperlink ref="B64" r:id="rId63" display="https://www.carmag.co.za/car-price-guide-view/kia-carnival-2-2crdi-sxl/S2lhIENhcm5pdmFsIDIuMkNSRGkgU1hM/?price=1049995" xr:uid="{33406E3D-42BE-44E4-8302-3B1CD92DE419}"/>
    <hyperlink ref="B65" r:id="rId64" display="https://www.carmag.co.za/car-price-guide-view/mercedes-benz-vito-116-cdi-tourer-pro/TWVyY2VkZXMtQmVueiBWaXRvIDExNiBDREkgVG91cmVyIFBybw==/?price=1054209" xr:uid="{0B2EE057-A34A-4714-AEC2-AADB3B0A0CA0}"/>
    <hyperlink ref="B66" r:id="rId65" display="https://www.carmag.co.za/car-price-guide-view/toyota-quantum-2-8-lwb-bus-6-seater-vx-premium/VG95b3RhIFF1YW50dW0gMi44IExXQiBCdXMgNi1zZWF0ZXIgVlggUHJlbWl1bQ==/?price=1107400" xr:uid="{ED4E5AE7-AFE8-4B99-B54A-F8777107945C}"/>
    <hyperlink ref="B67" r:id="rId66" display="https://www.carmag.co.za/car-price-guide-view/toyota-quantum-2-8-lwb-bus-9-seater-vx-premium/VG95b3RhIFF1YW50dW0gMi44IExXQiBCdXMgOS1zZWF0ZXIgVlggUHJlbWl1bQ==/?price=1111400" xr:uid="{1932CBF3-5933-44A0-B2C6-AF3240D1574C}"/>
    <hyperlink ref="B68" r:id="rId67" display="https://www.carmag.co.za/car-price-guide-view/volvo-v90-cross-country-b5-awd-plus/Vm9sdm8gVjkwIENyb3NzIENvdW50cnkgQjUgQVdEIFBsdXM=/?price=1128700" xr:uid="{B915FDF0-6AC2-4900-922B-A792E27B5859}"/>
    <hyperlink ref="B69" r:id="rId68" display="https://www.carmag.co.za/car-price-guide-view/hyundai-staria-2-2d-luxury/SHl1bmRhaSBTdGFyaWEgMi4yRCBMdXh1cnk=/?price=1160900" xr:uid="{77D232EF-3744-4AB3-9946-4B78B8683DCA}"/>
    <hyperlink ref="B70" r:id="rId69" display="https://www.carmag.co.za/car-price-guide-view/volvo-v90-cross-country-b5-awd-ultimate/Vm9sdm8gVjkwIENyb3NzIENvdW50cnkgQjUgQVdEIFVsdGltYXRl/?price=1165700" xr:uid="{F9D9E994-AA88-4ED1-A10E-0454D504CDE1}"/>
    <hyperlink ref="B71" r:id="rId70" display="https://www.carmag.co.za/car-price-guide-view/mercedes-benz-vito-116-cdi-tourer-select/TWVyY2VkZXMtQmVueiBWaXRvIDExNiBDREkgVG91cmVyIFNlbGVjdA==/?price=1243411" xr:uid="{F1AC08DF-2D74-44D6-8B66-51955B481DAD}"/>
    <hyperlink ref="B72" r:id="rId71" display="https://www.carmag.co.za/car-price-guide-view/mercedes-benz-v220d/TWVyY2VkZXMtQmVueiBWMjIwZA==/?price=1285562" xr:uid="{5EA39D67-F3CB-4057-8323-EF8A1CB63A50}"/>
    <hyperlink ref="B73" r:id="rId72" display="https://www.carmag.co.za/car-price-guide-view/mercedes-benz-vito-119-cdi-tourer-select/TWVyY2VkZXMtQmVueiBWaXRvIDExOSBDREkgVG91cmVyIFNlbGVjdA==/?price=1287532" xr:uid="{075C59C2-8A7E-4D68-8953-93F620752BD7}"/>
    <hyperlink ref="B74" r:id="rId73" display="https://www.carmag.co.za/car-price-guide-view/volkswagen-caravelle-2-0bitdi-146kw-highline-4motion/Vm9sa3N3YWdlbiBDYXJhdmVsbGUgMi4wQmlUREkgMTQ2a1cgSGlnaGxpbmUgNE1vdGlvbg==/?price=1353700" xr:uid="{76D8CEC7-295E-4E48-BA8E-1716255AE257}"/>
    <hyperlink ref="B75" r:id="rId74" display="https://www.carmag.co.za/car-price-guide-view/mercedes-benz-v220d-amg-line/TWVyY2VkZXMtQmVueiBWMjIwZCBBTUcgTGluZQ==/?price=1366205" xr:uid="{1F9D99C4-58DE-40AC-B18D-45A5375B1FAA}"/>
    <hyperlink ref="B76" r:id="rId75" display="https://www.carmag.co.za/car-price-guide-view/mercedes-benz-v250d/TWVyY2VkZXMtQmVueiBWMjUwZA==/?price=1373835" xr:uid="{8FE61DFF-E651-4D91-968C-1678694D0DB3}"/>
    <hyperlink ref="B77" r:id="rId76" display="https://www.carmag.co.za/car-price-guide-view/volkswagen-california-2-0bitdi-146kw-coast-4motion/Vm9sa3N3YWdlbiBDYWxpZm9ybmlhIDIuMEJpVERJIDE0NmtXIENvYXN0IDRNb3Rpb24=/?price=1410700" xr:uid="{4C26E1CC-5F9D-459A-A0E2-258A1FECE859}"/>
    <hyperlink ref="B78" r:id="rId77" display="https://www.carmag.co.za/car-price-guide-view/audi-rs4-avant-quattro/QXVkaSBSUzQgQXZhbnQgcXVhdHRybw==/?price=1448400" xr:uid="{81C9C6B3-6C01-4F0D-AB46-3AFB68E8C60F}"/>
    <hyperlink ref="B79" r:id="rId78" display="https://www.carmag.co.za/car-price-guide-view/mercedes-benz-v250d-amg-line/TWVyY2VkZXMtQmVueiBWMjUwZCBBTUcgTGluZQ==/?price=1454478" xr:uid="{41B68A50-96B6-488A-82C3-C06DF04765D1}"/>
    <hyperlink ref="B80" r:id="rId79" display="https://www.carmag.co.za/car-price-guide-view/mercedes-benz-v220d-avantgarde/TWVyY2VkZXMtQmVueiBWMjIwZCBBdmFudGdhcmRl/?price=1653741" xr:uid="{6EA46F10-A0E7-4B13-8680-7DBF9660DA18}"/>
    <hyperlink ref="B81" r:id="rId80" display="https://www.carmag.co.za/car-price-guide-view/mercedes-benz-v250d-avantgarde/TWVyY2VkZXMtQmVueiBWMjUwZCBBdmFudGdhcmRl/?price=1707228" xr:uid="{5CE54EEF-E73A-4F4A-A9A1-17215E0D2CAE}"/>
    <hyperlink ref="B82" r:id="rId81" display="https://www.carmag.co.za/car-price-guide-view/mercedes-benz-v220d-avantgarde-amg-line/TWVyY2VkZXMtQmVueiBWMjIwZCBBdmFudGdhcmRlIEFNRyBMaW5l/?price=1717109" xr:uid="{199A4D78-A17E-4754-8382-198F39F64B3F}"/>
    <hyperlink ref="B83" r:id="rId82" display="https://www.carmag.co.za/car-price-guide-view/mercedes-benz-v300d-avantgarde/TWVyY2VkZXMtQmVueiBWMzAwZCBBdmFudGdhcmRl/?price=1754412" xr:uid="{C74FF62D-9C87-44C9-8A50-DD7D1E66194B}"/>
    <hyperlink ref="B84" r:id="rId83" display="https://www.carmag.co.za/car-price-guide-view/mercedes-benz-v250d-avantgarde-amg-line/TWVyY2VkZXMtQmVueiBWMjUwZCBBdmFudGdhcmRlIEFNRyBMaW5l/?price=1770596" xr:uid="{03E5C4F0-E707-48B2-9FA7-5095A95DDDBF}"/>
    <hyperlink ref="B85" r:id="rId84" display="https://www.carmag.co.za/car-price-guide-view/mercedes-benz-v300d-avantgarde-amg-line/TWVyY2VkZXMtQmVueiBWMzAwZCBBdmFudGdhcmRlIEFNRyBMaW5l/?price=1843022" xr:uid="{BD207CA1-6F63-40B0-A989-0B8CC24D0311}"/>
    <hyperlink ref="B86" r:id="rId85" display="https://www.carmag.co.za/car-price-guide-view/mercedes-benz-v300d-exclusive/TWVyY2VkZXMtQmVueiBWMzAwZCBFeGNsdXNpdmU=/?price=2042471" xr:uid="{BA7FE6EE-9A71-463D-9D24-507F71B2D069}"/>
    <hyperlink ref="B87" r:id="rId86" display="https://www.carmag.co.za/car-price-guide-view/audi-rs6-avant-quattro/QXVkaSBSUzYgQXZhbnQgcXVhdHRybw==/?price=2254600" xr:uid="{40E9A1AE-724A-4CA2-80AA-990A43EAADC7}"/>
    <hyperlink ref="B88" r:id="rId87" display="https://www.carmag.co.za/car-price-guide-view/porsche-taycan-4-cross-turismo/UG9yc2NoZSBUYXljYW4gNCBDcm9zcyBUdXJpc21v/?price=2449000" xr:uid="{F6705AAB-82BD-42F2-B1C3-78F6F1FEE570}"/>
    <hyperlink ref="B89" r:id="rId88" display="https://www.carmag.co.za/car-price-guide-view/porsche-taycan-4s-cross-turismo/UG9yc2NoZSBUYXljYW4gNFMgQ3Jvc3MgVHVyaXNtbw==/?price=2549000" xr:uid="{84AAD68A-1ACB-4059-806E-35F4D94B23B1}"/>
    <hyperlink ref="B90" r:id="rId89" display="https://www.carmag.co.za/car-price-guide-view/porsche-taycan-turbo-cross-turismo/UG9yc2NoZSBUYXljYW4gdHVyYm8gQ3Jvc3MgVHVyaXNtbw==/?price=3359000" xr:uid="{D43F9833-32AC-4EFC-AE80-02A3768D4A82}"/>
  </hyperlinks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5168-9351-4F12-AEB0-81F8F10FFE79}">
  <dimension ref="B1:D601"/>
  <sheetViews>
    <sheetView topLeftCell="A583" workbookViewId="0">
      <selection activeCell="C2" sqref="C2:D601"/>
    </sheetView>
  </sheetViews>
  <sheetFormatPr defaultRowHeight="14.5" x14ac:dyDescent="0.35"/>
  <cols>
    <col min="2" max="2" width="85" customWidth="1"/>
    <col min="3" max="3" width="71.7265625" customWidth="1"/>
    <col min="4" max="4" width="29.453125" customWidth="1"/>
  </cols>
  <sheetData>
    <row r="1" spans="2:4" x14ac:dyDescent="0.35">
      <c r="B1" s="2" t="s">
        <v>92</v>
      </c>
      <c r="C1" s="2" t="s">
        <v>94</v>
      </c>
      <c r="D1" s="2" t="s">
        <v>93</v>
      </c>
    </row>
    <row r="2" spans="2:4" ht="15" thickBot="1" x14ac:dyDescent="0.4">
      <c r="B2" s="1" t="s">
        <v>529</v>
      </c>
      <c r="C2" t="str">
        <f>TRIM(LEFT(B2, FIND("©",SUBSTITUTE(B2,"R","©",LEN(B2)-LEN(SUBSTITUTE(B2,"R",""))))-1))</f>
        <v>Mahindra KUV100 Nxt 1.2 G80 K2+</v>
      </c>
      <c r="D2">
        <f>--SUBSTITUTE(TRIM(RIGHT(B2, LEN(B2) - FIND("©",SUBSTITUTE(B2,"R","©",LEN(B2)-LEN(SUBSTITUTE(B2,"R","")))))), " ", "")</f>
        <v>172999</v>
      </c>
    </row>
    <row r="3" spans="2:4" ht="15" thickBot="1" x14ac:dyDescent="0.4">
      <c r="B3" s="1" t="s">
        <v>530</v>
      </c>
      <c r="C3" t="str">
        <f t="shared" ref="C3:C66" si="0">TRIM(LEFT(B3, FIND("©",SUBSTITUTE(B3,"R","©",LEN(B3)-LEN(SUBSTITUTE(B3,"R",""))))-1))</f>
        <v>Mahindra KUV100 Nxt 1.2 G80 K2+ #DARE</v>
      </c>
      <c r="D3">
        <f t="shared" ref="D3:D66" si="1">--SUBSTITUTE(TRIM(RIGHT(B3, LEN(B3) - FIND("©",SUBSTITUTE(B3,"R","©",LEN(B3)-LEN(SUBSTITUTE(B3,"R","")))))), " ", "")</f>
        <v>192999</v>
      </c>
    </row>
    <row r="4" spans="2:4" ht="15" thickBot="1" x14ac:dyDescent="0.4">
      <c r="B4" s="1" t="s">
        <v>531</v>
      </c>
      <c r="C4" t="str">
        <f t="shared" si="0"/>
        <v>Suzuki Ignis 1.2 GL</v>
      </c>
      <c r="D4">
        <f t="shared" si="1"/>
        <v>208900</v>
      </c>
    </row>
    <row r="5" spans="2:4" ht="15" thickBot="1" x14ac:dyDescent="0.4">
      <c r="B5" s="1" t="s">
        <v>532</v>
      </c>
      <c r="C5" t="str">
        <f t="shared" si="0"/>
        <v>Mahindra KUV100 Nxt 1.2 G80 K6+</v>
      </c>
      <c r="D5">
        <f t="shared" si="1"/>
        <v>217999</v>
      </c>
    </row>
    <row r="6" spans="2:4" ht="15" thickBot="1" x14ac:dyDescent="0.4">
      <c r="B6" s="1" t="s">
        <v>533</v>
      </c>
      <c r="C6" t="str">
        <f t="shared" si="0"/>
        <v>BAIC X25 1.5 Comfort</v>
      </c>
      <c r="D6">
        <f t="shared" si="1"/>
        <v>219990</v>
      </c>
    </row>
    <row r="7" spans="2:4" ht="15" thickBot="1" x14ac:dyDescent="0.4">
      <c r="B7" s="1" t="s">
        <v>534</v>
      </c>
      <c r="C7" t="str">
        <f t="shared" si="0"/>
        <v>Renault Kiger 1.0 Life</v>
      </c>
      <c r="D7">
        <f t="shared" si="1"/>
        <v>219999</v>
      </c>
    </row>
    <row r="8" spans="2:4" ht="15" thickBot="1" x14ac:dyDescent="0.4">
      <c r="B8" s="1" t="s">
        <v>535</v>
      </c>
      <c r="C8" t="str">
        <f t="shared" si="0"/>
        <v>Mahindra KUV100 Nxt 1.2 G80 K6+ #DARE</v>
      </c>
      <c r="D8">
        <f t="shared" si="1"/>
        <v>227999</v>
      </c>
    </row>
    <row r="9" spans="2:4" ht="15" thickBot="1" x14ac:dyDescent="0.4">
      <c r="B9" s="1" t="s">
        <v>536</v>
      </c>
      <c r="C9" t="str">
        <f t="shared" si="0"/>
        <v>BAIC X25 1.5 Fashion</v>
      </c>
      <c r="D9">
        <f t="shared" si="1"/>
        <v>229990</v>
      </c>
    </row>
    <row r="10" spans="2:4" ht="15" thickBot="1" x14ac:dyDescent="0.4">
      <c r="B10" s="1" t="s">
        <v>537</v>
      </c>
      <c r="C10" t="str">
        <f t="shared" si="0"/>
        <v>Renault Kiger 1.0 Zen</v>
      </c>
      <c r="D10">
        <f t="shared" si="1"/>
        <v>234999</v>
      </c>
    </row>
    <row r="11" spans="2:4" ht="15" thickBot="1" x14ac:dyDescent="0.4">
      <c r="B11" s="1" t="s">
        <v>538</v>
      </c>
      <c r="C11" t="str">
        <f t="shared" si="0"/>
        <v>Suzuki Ignis 1.2 GLX</v>
      </c>
      <c r="D11">
        <f t="shared" si="1"/>
        <v>241900</v>
      </c>
    </row>
    <row r="12" spans="2:4" ht="15" thickBot="1" x14ac:dyDescent="0.4">
      <c r="B12" s="1" t="s">
        <v>539</v>
      </c>
      <c r="C12" t="str">
        <f t="shared" si="0"/>
        <v>Renault Kiger 1.0 Zen auto</v>
      </c>
      <c r="D12">
        <f t="shared" si="1"/>
        <v>244999</v>
      </c>
    </row>
    <row r="13" spans="2:4" ht="15" thickBot="1" x14ac:dyDescent="0.4">
      <c r="B13" s="1" t="s">
        <v>540</v>
      </c>
      <c r="C13" t="str">
        <f t="shared" si="0"/>
        <v>Mahindra KUV100 Nxt 1.2 G80 K8</v>
      </c>
      <c r="D13">
        <f t="shared" si="1"/>
        <v>249999</v>
      </c>
    </row>
    <row r="14" spans="2:4" ht="15" thickBot="1" x14ac:dyDescent="0.4">
      <c r="B14" s="1" t="s">
        <v>541</v>
      </c>
      <c r="C14" t="str">
        <f t="shared" si="0"/>
        <v>Mahindra KUV100 Nxt 1.2TD D75 K6+</v>
      </c>
      <c r="D14">
        <f t="shared" si="1"/>
        <v>254999</v>
      </c>
    </row>
    <row r="15" spans="2:4" ht="15" thickBot="1" x14ac:dyDescent="0.4">
      <c r="B15" s="1" t="s">
        <v>542</v>
      </c>
      <c r="C15" t="str">
        <f t="shared" si="0"/>
        <v>Suzuki Ignis 1.2 GLX auto</v>
      </c>
      <c r="D15">
        <f t="shared" si="1"/>
        <v>258900</v>
      </c>
    </row>
    <row r="16" spans="2:4" ht="15" thickBot="1" x14ac:dyDescent="0.4">
      <c r="B16" s="1" t="s">
        <v>543</v>
      </c>
      <c r="C16" t="str">
        <f t="shared" si="0"/>
        <v>Mahindra XUV300 1.2T W4</v>
      </c>
      <c r="D16">
        <f t="shared" si="1"/>
        <v>259999</v>
      </c>
    </row>
    <row r="17" spans="2:4" ht="15" thickBot="1" x14ac:dyDescent="0.4">
      <c r="B17" s="1" t="s">
        <v>544</v>
      </c>
      <c r="C17" t="str">
        <f t="shared" si="0"/>
        <v>Suzuki Vitara Brezza 1.5 GL</v>
      </c>
      <c r="D17">
        <f t="shared" si="1"/>
        <v>262900</v>
      </c>
    </row>
    <row r="18" spans="2:4" ht="15" thickBot="1" x14ac:dyDescent="0.4">
      <c r="B18" s="1" t="s">
        <v>545</v>
      </c>
      <c r="C18" t="str">
        <f t="shared" si="0"/>
        <v>Mahindra XUV300 1.2T W4 SE</v>
      </c>
      <c r="D18">
        <f t="shared" si="1"/>
        <v>268999</v>
      </c>
    </row>
    <row r="19" spans="2:4" ht="15" thickBot="1" x14ac:dyDescent="0.4">
      <c r="B19" s="1" t="s">
        <v>546</v>
      </c>
      <c r="C19" t="str">
        <f t="shared" si="0"/>
        <v>Suzuki Vitara Brezza 1.5 GL S-Edition</v>
      </c>
      <c r="D19">
        <f t="shared" si="1"/>
        <v>281900</v>
      </c>
    </row>
    <row r="20" spans="2:4" ht="15" thickBot="1" x14ac:dyDescent="0.4">
      <c r="B20" s="1" t="s">
        <v>547</v>
      </c>
      <c r="C20" t="str">
        <f t="shared" si="0"/>
        <v>Toyota Urban Cruiser 1.5 Xi</v>
      </c>
      <c r="D20">
        <f t="shared" si="1"/>
        <v>283200</v>
      </c>
    </row>
    <row r="21" spans="2:4" ht="15" thickBot="1" x14ac:dyDescent="0.4">
      <c r="B21" s="1" t="s">
        <v>548</v>
      </c>
      <c r="C21" t="str">
        <f t="shared" si="0"/>
        <v>Suzuki Vitara Brezza 1.5 GL auto</v>
      </c>
      <c r="D21">
        <f t="shared" si="1"/>
        <v>283900</v>
      </c>
    </row>
    <row r="22" spans="2:4" ht="15" thickBot="1" x14ac:dyDescent="0.4">
      <c r="B22" s="1" t="s">
        <v>549</v>
      </c>
      <c r="C22" t="str">
        <f t="shared" si="0"/>
        <v>Mahindra KUV100 Nxt 1.2TD D75 K8</v>
      </c>
      <c r="D22">
        <f t="shared" si="1"/>
        <v>283999</v>
      </c>
    </row>
    <row r="23" spans="2:4" ht="15" thickBot="1" x14ac:dyDescent="0.4">
      <c r="B23" s="1" t="s">
        <v>550</v>
      </c>
      <c r="C23" t="str">
        <f t="shared" si="0"/>
        <v>Mahindra XUV300 1.2T W6</v>
      </c>
      <c r="D23">
        <f t="shared" si="1"/>
        <v>284999</v>
      </c>
    </row>
    <row r="24" spans="2:4" ht="15" thickBot="1" x14ac:dyDescent="0.4">
      <c r="B24" s="1" t="s">
        <v>551</v>
      </c>
      <c r="C24" t="str">
        <f t="shared" si="0"/>
        <v>Renault Kiger 1.0 Turbo Zen</v>
      </c>
      <c r="D24">
        <f t="shared" si="1"/>
        <v>289999</v>
      </c>
    </row>
    <row r="25" spans="2:4" ht="15" thickBot="1" x14ac:dyDescent="0.4">
      <c r="B25" s="1" t="s">
        <v>552</v>
      </c>
      <c r="C25" t="str">
        <f t="shared" si="0"/>
        <v>Nissan Magnite 1.0 Turbo Acenta</v>
      </c>
      <c r="D25">
        <f t="shared" si="1"/>
        <v>296500</v>
      </c>
    </row>
    <row r="26" spans="2:4" ht="15" thickBot="1" x14ac:dyDescent="0.4">
      <c r="B26" s="1" t="s">
        <v>553</v>
      </c>
      <c r="C26" t="str">
        <f t="shared" si="0"/>
        <v>Hyundai Venue 1.2 Motion</v>
      </c>
      <c r="D26">
        <f t="shared" si="1"/>
        <v>299900</v>
      </c>
    </row>
    <row r="27" spans="2:4" ht="15" thickBot="1" x14ac:dyDescent="0.4">
      <c r="B27" s="1" t="s">
        <v>554</v>
      </c>
      <c r="C27" t="str">
        <f t="shared" si="0"/>
        <v>Suzuki Vitara Brezza 1.5 GL S-Edition auto</v>
      </c>
      <c r="D27">
        <f t="shared" si="1"/>
        <v>301900</v>
      </c>
    </row>
    <row r="28" spans="2:4" ht="15" thickBot="1" x14ac:dyDescent="0.4">
      <c r="B28" s="1" t="s">
        <v>555</v>
      </c>
      <c r="C28" t="str">
        <f t="shared" si="0"/>
        <v>Toyota Urban Cruiser 1.5 XS</v>
      </c>
      <c r="D28">
        <f t="shared" si="1"/>
        <v>303100</v>
      </c>
    </row>
    <row r="29" spans="2:4" ht="15" thickBot="1" x14ac:dyDescent="0.4">
      <c r="B29" s="1" t="s">
        <v>556</v>
      </c>
      <c r="C29" t="str">
        <f t="shared" si="0"/>
        <v>Nissan Magnite 1.0 Turbo Acenta Red Edition</v>
      </c>
      <c r="D29">
        <f t="shared" si="1"/>
        <v>304300</v>
      </c>
    </row>
    <row r="30" spans="2:4" ht="15" thickBot="1" x14ac:dyDescent="0.4">
      <c r="B30" s="1" t="s">
        <v>557</v>
      </c>
      <c r="C30" t="str">
        <f t="shared" si="0"/>
        <v>Mahindra XUV300 1.5TD W6</v>
      </c>
      <c r="D30">
        <f t="shared" si="1"/>
        <v>306999</v>
      </c>
    </row>
    <row r="31" spans="2:4" ht="15" thickBot="1" x14ac:dyDescent="0.4">
      <c r="B31" s="1" t="s">
        <v>558</v>
      </c>
      <c r="C31" t="str">
        <f t="shared" si="0"/>
        <v>Suzuki Vitara Brezza 1.5 GLX</v>
      </c>
      <c r="D31">
        <f t="shared" si="1"/>
        <v>308900</v>
      </c>
    </row>
    <row r="32" spans="2:4" ht="15" thickBot="1" x14ac:dyDescent="0.4">
      <c r="B32" s="1" t="s">
        <v>559</v>
      </c>
      <c r="C32" t="str">
        <f t="shared" si="0"/>
        <v>Renault Kiger 1.0 Turbo Intens</v>
      </c>
      <c r="D32">
        <f t="shared" si="1"/>
        <v>309999</v>
      </c>
    </row>
    <row r="33" spans="2:4" ht="15" thickBot="1" x14ac:dyDescent="0.4">
      <c r="B33" s="1" t="s">
        <v>560</v>
      </c>
      <c r="C33" t="str">
        <f t="shared" si="0"/>
        <v>Ford EcoSport 1.5 Ambiente</v>
      </c>
      <c r="D33">
        <f t="shared" si="1"/>
        <v>311400</v>
      </c>
    </row>
    <row r="34" spans="2:4" ht="15" thickBot="1" x14ac:dyDescent="0.4">
      <c r="B34" s="1" t="s">
        <v>561</v>
      </c>
      <c r="C34" t="str">
        <f t="shared" si="0"/>
        <v>Honda WR-V 1.2 Comfort</v>
      </c>
      <c r="D34">
        <f t="shared" si="1"/>
        <v>315200</v>
      </c>
    </row>
    <row r="35" spans="2:4" ht="15" thickBot="1" x14ac:dyDescent="0.4">
      <c r="B35" s="1" t="s">
        <v>562</v>
      </c>
      <c r="C35" t="str">
        <f t="shared" si="0"/>
        <v>Kia Sonet 1.5 LX</v>
      </c>
      <c r="D35">
        <f t="shared" si="1"/>
        <v>316995</v>
      </c>
    </row>
    <row r="36" spans="2:4" ht="15" thickBot="1" x14ac:dyDescent="0.4">
      <c r="B36" s="1" t="s">
        <v>563</v>
      </c>
      <c r="C36" t="str">
        <f t="shared" si="0"/>
        <v>Ford EcoSport 1.5TDCi Ambiente</v>
      </c>
      <c r="D36">
        <f t="shared" si="1"/>
        <v>322500</v>
      </c>
    </row>
    <row r="37" spans="2:4" ht="15" thickBot="1" x14ac:dyDescent="0.4">
      <c r="B37" s="1" t="s">
        <v>564</v>
      </c>
      <c r="C37" t="str">
        <f t="shared" si="0"/>
        <v>Nissan Magnite 1.0 Turbo Acenta auto</v>
      </c>
      <c r="D37">
        <f t="shared" si="1"/>
        <v>324000</v>
      </c>
    </row>
    <row r="38" spans="2:4" ht="15" thickBot="1" x14ac:dyDescent="0.4">
      <c r="B38" s="1" t="s">
        <v>565</v>
      </c>
      <c r="C38" t="str">
        <f t="shared" si="0"/>
        <v>Nissan Magnite 1.0 Turbo Acenta Plus</v>
      </c>
      <c r="D38">
        <f t="shared" si="1"/>
        <v>326000</v>
      </c>
    </row>
    <row r="39" spans="2:4" ht="15" thickBot="1" x14ac:dyDescent="0.4">
      <c r="B39" s="1" t="s">
        <v>566</v>
      </c>
      <c r="C39" t="str">
        <f t="shared" si="0"/>
        <v>Toyota Urban Cruiser 1.5 XS auto</v>
      </c>
      <c r="D39">
        <f t="shared" si="1"/>
        <v>327100</v>
      </c>
    </row>
    <row r="40" spans="2:4" ht="15" thickBot="1" x14ac:dyDescent="0.4">
      <c r="B40" s="1" t="s">
        <v>567</v>
      </c>
      <c r="C40" t="str">
        <f t="shared" si="0"/>
        <v>Suzuki Vitara Brezza 1.5 GLX auto</v>
      </c>
      <c r="D40">
        <f t="shared" si="1"/>
        <v>329900</v>
      </c>
    </row>
    <row r="41" spans="2:4" ht="15" thickBot="1" x14ac:dyDescent="0.4">
      <c r="B41" s="1" t="s">
        <v>568</v>
      </c>
      <c r="C41" t="str">
        <f t="shared" si="0"/>
        <v>Renault Kiger 1.0 Turbo Intens auto</v>
      </c>
      <c r="D41">
        <f t="shared" si="1"/>
        <v>329999</v>
      </c>
    </row>
    <row r="42" spans="2:4" ht="15" thickBot="1" x14ac:dyDescent="0.4">
      <c r="B42" s="1" t="s">
        <v>569</v>
      </c>
      <c r="C42" t="str">
        <f t="shared" si="0"/>
        <v>Nissan Magnite 1.0 Turbo Acenta Red Edition auto</v>
      </c>
      <c r="D42">
        <f t="shared" si="1"/>
        <v>331800</v>
      </c>
    </row>
    <row r="43" spans="2:4" ht="15" thickBot="1" x14ac:dyDescent="0.4">
      <c r="B43" s="1" t="s">
        <v>570</v>
      </c>
      <c r="C43" t="str">
        <f t="shared" si="0"/>
        <v>Toyota Urban Cruiser 1.5 XR</v>
      </c>
      <c r="D43">
        <f t="shared" si="1"/>
        <v>333300</v>
      </c>
    </row>
    <row r="44" spans="2:4" ht="15" thickBot="1" x14ac:dyDescent="0.4">
      <c r="B44" s="1" t="s">
        <v>571</v>
      </c>
      <c r="C44" t="str">
        <f t="shared" si="0"/>
        <v>Suzuki Jimny 1.5 GA AllGrip</v>
      </c>
      <c r="D44">
        <f t="shared" si="1"/>
        <v>334900</v>
      </c>
    </row>
    <row r="45" spans="2:4" ht="15" thickBot="1" x14ac:dyDescent="0.4">
      <c r="B45" s="1" t="s">
        <v>572</v>
      </c>
      <c r="C45" t="str">
        <f t="shared" si="0"/>
        <v>Chery Tiggo 4 Pro 1.5 Comfort</v>
      </c>
      <c r="D45">
        <f t="shared" si="1"/>
        <v>336900</v>
      </c>
    </row>
    <row r="46" spans="2:4" ht="15" thickBot="1" x14ac:dyDescent="0.4">
      <c r="B46" s="1" t="s">
        <v>573</v>
      </c>
      <c r="C46" t="str">
        <f t="shared" si="0"/>
        <v>Kia Sonet 1.5 EX</v>
      </c>
      <c r="D46">
        <f t="shared" si="1"/>
        <v>336995</v>
      </c>
    </row>
    <row r="47" spans="2:4" ht="15" thickBot="1" x14ac:dyDescent="0.4">
      <c r="B47" s="1" t="s">
        <v>574</v>
      </c>
      <c r="C47" t="str">
        <f t="shared" si="0"/>
        <v>Kia Sonet 1.5 LX auto</v>
      </c>
      <c r="D47">
        <f t="shared" si="1"/>
        <v>337995</v>
      </c>
    </row>
    <row r="48" spans="2:4" ht="15" thickBot="1" x14ac:dyDescent="0.4">
      <c r="B48" s="1" t="s">
        <v>575</v>
      </c>
      <c r="C48" t="str">
        <f t="shared" si="0"/>
        <v>Haval Jolion 1.5T City</v>
      </c>
      <c r="D48">
        <f t="shared" si="1"/>
        <v>342950</v>
      </c>
    </row>
    <row r="49" spans="2:4" ht="15" thickBot="1" x14ac:dyDescent="0.4">
      <c r="B49" s="1" t="s">
        <v>576</v>
      </c>
      <c r="C49" t="str">
        <f t="shared" si="0"/>
        <v>Mahindra XUV300 1.2T W8</v>
      </c>
      <c r="D49">
        <f t="shared" si="1"/>
        <v>343999</v>
      </c>
    </row>
    <row r="50" spans="2:4" ht="15" thickBot="1" x14ac:dyDescent="0.4">
      <c r="B50" s="1" t="s">
        <v>577</v>
      </c>
      <c r="C50" t="str">
        <f t="shared" si="0"/>
        <v>Ford EcoSport 1.5 Ambiente Black</v>
      </c>
      <c r="D50">
        <f t="shared" si="1"/>
        <v>346710</v>
      </c>
    </row>
    <row r="51" spans="2:4" ht="15" thickBot="1" x14ac:dyDescent="0.4">
      <c r="B51" s="1" t="s">
        <v>578</v>
      </c>
      <c r="C51" t="str">
        <f t="shared" si="0"/>
        <v>Chery Tiggo 4 Pro 1.5T Elite</v>
      </c>
      <c r="D51">
        <f t="shared" si="1"/>
        <v>346900</v>
      </c>
    </row>
    <row r="52" spans="2:4" ht="15" thickBot="1" x14ac:dyDescent="0.4">
      <c r="B52" s="1" t="s">
        <v>579</v>
      </c>
      <c r="C52" t="str">
        <f t="shared" si="0"/>
        <v>Nissan Magnite 1.0 Turbo Acenta Plus auto</v>
      </c>
      <c r="D52">
        <f t="shared" si="1"/>
        <v>353500</v>
      </c>
    </row>
    <row r="53" spans="2:4" ht="15" thickBot="1" x14ac:dyDescent="0.4">
      <c r="B53" s="1" t="s">
        <v>580</v>
      </c>
      <c r="C53" t="str">
        <f t="shared" si="0"/>
        <v>Honda WR-V 1.2 Elegance</v>
      </c>
      <c r="D53">
        <f t="shared" si="1"/>
        <v>355900</v>
      </c>
    </row>
    <row r="54" spans="2:4" ht="15" thickBot="1" x14ac:dyDescent="0.4">
      <c r="B54" s="1" t="s">
        <v>581</v>
      </c>
      <c r="C54" t="str">
        <f t="shared" si="0"/>
        <v>Suzuki Jimny 1.5 GL AllGrip</v>
      </c>
      <c r="D54">
        <f t="shared" si="1"/>
        <v>356900</v>
      </c>
    </row>
    <row r="55" spans="2:4" ht="15" thickBot="1" x14ac:dyDescent="0.4">
      <c r="B55" s="1" t="s">
        <v>582</v>
      </c>
      <c r="C55" t="str">
        <f t="shared" si="0"/>
        <v>Toyota Urban Cruiser 1.5 XR auto</v>
      </c>
      <c r="D55">
        <f t="shared" si="1"/>
        <v>357100</v>
      </c>
    </row>
    <row r="56" spans="2:4" ht="15" thickBot="1" x14ac:dyDescent="0.4">
      <c r="B56" s="1" t="s">
        <v>583</v>
      </c>
      <c r="C56" t="str">
        <f t="shared" si="0"/>
        <v>Kia Sonet 1.5 EX auto</v>
      </c>
      <c r="D56">
        <f t="shared" si="1"/>
        <v>357995</v>
      </c>
    </row>
    <row r="57" spans="2:4" ht="15" thickBot="1" x14ac:dyDescent="0.4">
      <c r="B57" s="1" t="s">
        <v>584</v>
      </c>
      <c r="C57" t="str">
        <f t="shared" si="0"/>
        <v>Renault Duster 1.5dCi Zen</v>
      </c>
      <c r="D57">
        <f t="shared" si="1"/>
        <v>357999</v>
      </c>
    </row>
    <row r="58" spans="2:4" ht="15" thickBot="1" x14ac:dyDescent="0.4">
      <c r="B58" s="1" t="s">
        <v>585</v>
      </c>
      <c r="C58" t="str">
        <f t="shared" si="0"/>
        <v>Ford EcoSport 1.0T Trend</v>
      </c>
      <c r="D58">
        <f t="shared" si="1"/>
        <v>358700</v>
      </c>
    </row>
    <row r="59" spans="2:4" ht="15" thickBot="1" x14ac:dyDescent="0.4">
      <c r="B59" s="1" t="s">
        <v>586</v>
      </c>
      <c r="C59" t="str">
        <f t="shared" si="0"/>
        <v>Hyundai Venue 1.0T Motion</v>
      </c>
      <c r="D59">
        <f t="shared" si="1"/>
        <v>362900</v>
      </c>
    </row>
    <row r="60" spans="2:4" ht="15" thickBot="1" x14ac:dyDescent="0.4">
      <c r="B60" s="1" t="s">
        <v>587</v>
      </c>
      <c r="C60" t="str">
        <f t="shared" si="0"/>
        <v>Mahindra XUV300 1.5TD W8</v>
      </c>
      <c r="D60">
        <f t="shared" si="1"/>
        <v>364999</v>
      </c>
    </row>
    <row r="61" spans="2:4" ht="15" thickBot="1" x14ac:dyDescent="0.4">
      <c r="B61" s="1" t="s">
        <v>588</v>
      </c>
      <c r="C61" t="str">
        <f t="shared" si="0"/>
        <v>Ford EcoSport 1.0T Trend auto</v>
      </c>
      <c r="D61">
        <f t="shared" si="1"/>
        <v>375300</v>
      </c>
    </row>
    <row r="62" spans="2:4" ht="15" thickBot="1" x14ac:dyDescent="0.4">
      <c r="B62" s="1" t="s">
        <v>589</v>
      </c>
      <c r="C62" t="str">
        <f t="shared" si="0"/>
        <v>Suzuki Jimny 1.5 GLX AllGrip</v>
      </c>
      <c r="D62">
        <f t="shared" si="1"/>
        <v>377900</v>
      </c>
    </row>
    <row r="63" spans="2:4" ht="15" thickBot="1" x14ac:dyDescent="0.4">
      <c r="B63" s="1" t="s">
        <v>590</v>
      </c>
      <c r="C63" t="str">
        <f t="shared" si="0"/>
        <v>Haval Jolion 1.5T Luxury</v>
      </c>
      <c r="D63">
        <f t="shared" si="1"/>
        <v>377950</v>
      </c>
    </row>
    <row r="64" spans="2:4" ht="15" thickBot="1" x14ac:dyDescent="0.4">
      <c r="B64" s="1" t="s">
        <v>591</v>
      </c>
      <c r="C64" t="str">
        <f t="shared" si="0"/>
        <v>Suzuki Jimny 1.5 GL AllGrip auto</v>
      </c>
      <c r="D64">
        <f t="shared" si="1"/>
        <v>378900</v>
      </c>
    </row>
    <row r="65" spans="2:4" ht="15" thickBot="1" x14ac:dyDescent="0.4">
      <c r="B65" s="1" t="s">
        <v>592</v>
      </c>
      <c r="C65" t="str">
        <f t="shared" si="0"/>
        <v>Honda BR-V 1.5 Trend</v>
      </c>
      <c r="D65">
        <f t="shared" si="1"/>
        <v>379900</v>
      </c>
    </row>
    <row r="66" spans="2:4" ht="15" thickBot="1" x14ac:dyDescent="0.4">
      <c r="B66" s="1" t="s">
        <v>593</v>
      </c>
      <c r="C66" t="str">
        <f t="shared" si="0"/>
        <v>Kia Sonet 1.0T EX</v>
      </c>
      <c r="D66">
        <f t="shared" si="1"/>
        <v>379995</v>
      </c>
    </row>
    <row r="67" spans="2:4" ht="15" thickBot="1" x14ac:dyDescent="0.4">
      <c r="B67" s="1" t="s">
        <v>594</v>
      </c>
      <c r="C67" t="str">
        <f t="shared" ref="C67:C130" si="2">TRIM(LEFT(B67, FIND("©",SUBSTITUTE(B67,"R","©",LEN(B67)-LEN(SUBSTITUTE(B67,"R",""))))-1))</f>
        <v>Toyota Corolla Cross 1.8 Xi</v>
      </c>
      <c r="D67">
        <f t="shared" ref="D67:D130" si="3">--SUBSTITUTE(TRIM(RIGHT(B67, LEN(B67) - FIND("©",SUBSTITUTE(B67,"R","©",LEN(B67)-LEN(SUBSTITUTE(B67,"R","")))))), " ", "")</f>
        <v>381200</v>
      </c>
    </row>
    <row r="68" spans="2:4" ht="15" thickBot="1" x14ac:dyDescent="0.4">
      <c r="B68" s="1" t="s">
        <v>595</v>
      </c>
      <c r="C68" t="str">
        <f t="shared" si="2"/>
        <v>Haval Jolion 1.5T Premium</v>
      </c>
      <c r="D68">
        <f t="shared" si="3"/>
        <v>384950</v>
      </c>
    </row>
    <row r="69" spans="2:4" ht="15" thickBot="1" x14ac:dyDescent="0.4">
      <c r="B69" s="1" t="s">
        <v>596</v>
      </c>
      <c r="C69" t="str">
        <f t="shared" si="2"/>
        <v>Mitsubishi ASX 2.0 ES</v>
      </c>
      <c r="D69">
        <f t="shared" si="3"/>
        <v>384990</v>
      </c>
    </row>
    <row r="70" spans="2:4" ht="15" thickBot="1" x14ac:dyDescent="0.4">
      <c r="B70" s="1" t="s">
        <v>597</v>
      </c>
      <c r="C70" t="str">
        <f t="shared" si="2"/>
        <v>Mahindra Scorpio 2.2CRDe S11</v>
      </c>
      <c r="D70">
        <f t="shared" si="3"/>
        <v>389999</v>
      </c>
    </row>
    <row r="71" spans="2:4" ht="15" thickBot="1" x14ac:dyDescent="0.4">
      <c r="B71" s="1" t="s">
        <v>598</v>
      </c>
      <c r="C71" t="str">
        <f t="shared" si="2"/>
        <v>Mazda CX-3 2.0 Active</v>
      </c>
      <c r="D71">
        <f t="shared" si="3"/>
        <v>390500</v>
      </c>
    </row>
    <row r="72" spans="2:4" ht="15" thickBot="1" x14ac:dyDescent="0.4">
      <c r="B72" s="1" t="s">
        <v>599</v>
      </c>
      <c r="C72" t="str">
        <f t="shared" si="2"/>
        <v>Volkswagen T-Cross 1.0TSI 70kW Comfortline</v>
      </c>
      <c r="D72">
        <f t="shared" si="3"/>
        <v>393400</v>
      </c>
    </row>
    <row r="73" spans="2:4" ht="15" thickBot="1" x14ac:dyDescent="0.4">
      <c r="B73" s="1" t="s">
        <v>600</v>
      </c>
      <c r="C73" t="str">
        <f t="shared" si="2"/>
        <v>Ford EcoSport 1.0T Active</v>
      </c>
      <c r="D73">
        <f t="shared" si="3"/>
        <v>393700</v>
      </c>
    </row>
    <row r="74" spans="2:4" ht="15" thickBot="1" x14ac:dyDescent="0.4">
      <c r="B74" s="1" t="s">
        <v>601</v>
      </c>
      <c r="C74" t="str">
        <f t="shared" si="2"/>
        <v>BAIC Beijing X55 1.5T Dynamic</v>
      </c>
      <c r="D74">
        <f t="shared" si="3"/>
        <v>394900</v>
      </c>
    </row>
    <row r="75" spans="2:4" ht="15" thickBot="1" x14ac:dyDescent="0.4">
      <c r="B75" s="1" t="s">
        <v>602</v>
      </c>
      <c r="C75" t="str">
        <f t="shared" si="2"/>
        <v>Hyundai Venue 1.0T Fluid</v>
      </c>
      <c r="D75">
        <f t="shared" si="3"/>
        <v>397900</v>
      </c>
    </row>
    <row r="76" spans="2:4" ht="15" thickBot="1" x14ac:dyDescent="0.4">
      <c r="B76" s="1" t="s">
        <v>603</v>
      </c>
      <c r="C76" t="str">
        <f t="shared" si="2"/>
        <v>Suzuki Jimny 1.5 GLX AllGrip auto</v>
      </c>
      <c r="D76">
        <f t="shared" si="3"/>
        <v>399900</v>
      </c>
    </row>
    <row r="77" spans="2:4" ht="15" thickBot="1" x14ac:dyDescent="0.4">
      <c r="B77" s="1" t="s">
        <v>604</v>
      </c>
      <c r="C77" t="str">
        <f t="shared" si="2"/>
        <v>Ford EcoSport 1.0T Titanium</v>
      </c>
      <c r="D77">
        <f t="shared" si="3"/>
        <v>401600</v>
      </c>
    </row>
    <row r="78" spans="2:4" ht="15" thickBot="1" x14ac:dyDescent="0.4">
      <c r="B78" s="1" t="s">
        <v>605</v>
      </c>
      <c r="C78" t="str">
        <f t="shared" si="2"/>
        <v>Renault Duster 1.5dCi Zen auto</v>
      </c>
      <c r="D78">
        <f t="shared" si="3"/>
        <v>401999</v>
      </c>
    </row>
    <row r="79" spans="2:4" ht="15" thickBot="1" x14ac:dyDescent="0.4">
      <c r="B79" s="1" t="s">
        <v>606</v>
      </c>
      <c r="C79" t="str">
        <f t="shared" si="2"/>
        <v>Hyundai Venue 1.0T Motion auto</v>
      </c>
      <c r="D79">
        <f t="shared" si="3"/>
        <v>402900</v>
      </c>
    </row>
    <row r="80" spans="2:4" ht="15" thickBot="1" x14ac:dyDescent="0.4">
      <c r="B80" s="1" t="s">
        <v>607</v>
      </c>
      <c r="C80" t="str">
        <f t="shared" si="2"/>
        <v>Mitsubishi ASX 2.0 ES auto</v>
      </c>
      <c r="D80">
        <f t="shared" si="3"/>
        <v>404990</v>
      </c>
    </row>
    <row r="81" spans="2:4" ht="15" thickBot="1" x14ac:dyDescent="0.4">
      <c r="B81" s="1" t="s">
        <v>608</v>
      </c>
      <c r="C81" t="str">
        <f t="shared" si="2"/>
        <v>Honda BR-V 1.5 Comfort</v>
      </c>
      <c r="D81">
        <f t="shared" si="3"/>
        <v>409900</v>
      </c>
    </row>
    <row r="82" spans="2:4" ht="15" thickBot="1" x14ac:dyDescent="0.4">
      <c r="B82" s="1" t="s">
        <v>609</v>
      </c>
      <c r="C82" t="str">
        <f t="shared" si="2"/>
        <v>Kia Sonet 1.0T EX+</v>
      </c>
      <c r="D82">
        <f t="shared" si="3"/>
        <v>409995</v>
      </c>
    </row>
    <row r="83" spans="2:4" ht="15" thickBot="1" x14ac:dyDescent="0.4">
      <c r="B83" s="1" t="s">
        <v>610</v>
      </c>
      <c r="C83" t="str">
        <f t="shared" si="2"/>
        <v>Renault Duster 1.5dCi Intens</v>
      </c>
      <c r="D83">
        <f t="shared" si="3"/>
        <v>409999</v>
      </c>
    </row>
    <row r="84" spans="2:4" ht="15" thickBot="1" x14ac:dyDescent="0.4">
      <c r="B84" s="1" t="s">
        <v>611</v>
      </c>
      <c r="C84" t="str">
        <f t="shared" si="2"/>
        <v>Mazda CX-3 2.0 Active auto</v>
      </c>
      <c r="D84">
        <f t="shared" si="3"/>
        <v>412700</v>
      </c>
    </row>
    <row r="85" spans="2:4" ht="15" thickBot="1" x14ac:dyDescent="0.4">
      <c r="B85" s="1" t="s">
        <v>612</v>
      </c>
      <c r="C85" t="str">
        <f t="shared" si="2"/>
        <v>Toyota Corolla Cross 1.8 XS</v>
      </c>
      <c r="D85">
        <f t="shared" si="3"/>
        <v>414300</v>
      </c>
    </row>
    <row r="86" spans="2:4" ht="15" thickBot="1" x14ac:dyDescent="0.4">
      <c r="B86" s="1" t="s">
        <v>613</v>
      </c>
      <c r="C86" t="str">
        <f t="shared" si="2"/>
        <v>Haval Jolion 1.5T Luxury auto</v>
      </c>
      <c r="D86">
        <f t="shared" si="3"/>
        <v>414950</v>
      </c>
    </row>
    <row r="87" spans="2:4" ht="15" thickBot="1" x14ac:dyDescent="0.4">
      <c r="B87" s="1" t="s">
        <v>614</v>
      </c>
      <c r="C87" t="str">
        <f t="shared" si="2"/>
        <v>Mahindra Scorpio 2.2CRDe 4WD S11</v>
      </c>
      <c r="D87">
        <f t="shared" si="3"/>
        <v>414999</v>
      </c>
    </row>
    <row r="88" spans="2:4" ht="15" thickBot="1" x14ac:dyDescent="0.4">
      <c r="B88" s="1" t="s">
        <v>615</v>
      </c>
      <c r="C88" t="str">
        <f t="shared" si="2"/>
        <v>Ford EcoSport 1.0T Titanium auto</v>
      </c>
      <c r="D88">
        <f t="shared" si="3"/>
        <v>416900</v>
      </c>
    </row>
    <row r="89" spans="2:4" ht="15" thickBot="1" x14ac:dyDescent="0.4">
      <c r="B89" s="1" t="s">
        <v>616</v>
      </c>
      <c r="C89" t="str">
        <f t="shared" si="2"/>
        <v>Opel Crossland 1.2T Edition</v>
      </c>
      <c r="D89">
        <f t="shared" si="3"/>
        <v>419900</v>
      </c>
    </row>
    <row r="90" spans="2:4" ht="15" thickBot="1" x14ac:dyDescent="0.4">
      <c r="B90" s="1" t="s">
        <v>617</v>
      </c>
      <c r="C90" t="str">
        <f t="shared" si="2"/>
        <v>BAIC Beijing X55 1.5T Elite</v>
      </c>
      <c r="D90">
        <f t="shared" si="3"/>
        <v>424900</v>
      </c>
    </row>
    <row r="91" spans="2:4" ht="15" thickBot="1" x14ac:dyDescent="0.4">
      <c r="B91" s="1" t="s">
        <v>618</v>
      </c>
      <c r="C91" t="str">
        <f t="shared" si="2"/>
        <v>Mazda CX-3 2.0 Dynamic</v>
      </c>
      <c r="D91">
        <f t="shared" si="3"/>
        <v>427700</v>
      </c>
    </row>
    <row r="92" spans="2:4" ht="15" thickBot="1" x14ac:dyDescent="0.4">
      <c r="B92" s="1" t="s">
        <v>619</v>
      </c>
      <c r="C92" t="str">
        <f t="shared" si="2"/>
        <v>Kia Seltos 1.6 EX</v>
      </c>
      <c r="D92">
        <f t="shared" si="3"/>
        <v>427995</v>
      </c>
    </row>
    <row r="93" spans="2:4" ht="15" thickBot="1" x14ac:dyDescent="0.4">
      <c r="B93" s="1" t="s">
        <v>620</v>
      </c>
      <c r="C93" t="str">
        <f t="shared" si="2"/>
        <v>Hyundai Creta 1.5 Premium</v>
      </c>
      <c r="D93">
        <f t="shared" si="3"/>
        <v>428900</v>
      </c>
    </row>
    <row r="94" spans="2:4" ht="15" thickBot="1" x14ac:dyDescent="0.4">
      <c r="B94" s="1" t="s">
        <v>621</v>
      </c>
      <c r="C94" t="str">
        <f t="shared" si="2"/>
        <v>Citroën C3 Aircross 1.2T Feel</v>
      </c>
      <c r="D94">
        <f t="shared" si="3"/>
        <v>429900</v>
      </c>
    </row>
    <row r="95" spans="2:4" ht="15" thickBot="1" x14ac:dyDescent="0.4">
      <c r="B95" s="1" t="s">
        <v>622</v>
      </c>
      <c r="C95" t="str">
        <f t="shared" si="2"/>
        <v>Honda BR-V 1.5 Comfort auto</v>
      </c>
      <c r="D95">
        <f t="shared" si="3"/>
        <v>434900</v>
      </c>
    </row>
    <row r="96" spans="2:4" ht="15" thickBot="1" x14ac:dyDescent="0.4">
      <c r="B96" s="1" t="s">
        <v>623</v>
      </c>
      <c r="C96" t="str">
        <f t="shared" si="2"/>
        <v>Mitsubishi ASX 2.0 LS</v>
      </c>
      <c r="D96">
        <f t="shared" si="3"/>
        <v>434990</v>
      </c>
    </row>
    <row r="97" spans="2:4" ht="15" thickBot="1" x14ac:dyDescent="0.4">
      <c r="B97" s="1" t="s">
        <v>624</v>
      </c>
      <c r="C97" t="str">
        <f t="shared" si="2"/>
        <v>Chery Tiggo 7 Pro 1.5T Distinction</v>
      </c>
      <c r="D97">
        <f t="shared" si="3"/>
        <v>437900</v>
      </c>
    </row>
    <row r="98" spans="2:4" ht="15" thickBot="1" x14ac:dyDescent="0.4">
      <c r="B98" s="1" t="s">
        <v>625</v>
      </c>
      <c r="C98" t="str">
        <f t="shared" si="2"/>
        <v>Volkswagen T-Cross 1.0TSI 85kW Comfortline</v>
      </c>
      <c r="D98">
        <f t="shared" si="3"/>
        <v>438700</v>
      </c>
    </row>
    <row r="99" spans="2:4" ht="15" thickBot="1" x14ac:dyDescent="0.4">
      <c r="B99" s="1" t="s">
        <v>626</v>
      </c>
      <c r="C99" t="str">
        <f t="shared" si="2"/>
        <v>Suzuki Vitara 1.6 GLX AllGrip</v>
      </c>
      <c r="D99">
        <f t="shared" si="3"/>
        <v>438900</v>
      </c>
    </row>
    <row r="100" spans="2:4" ht="15" thickBot="1" x14ac:dyDescent="0.4">
      <c r="B100" s="1" t="s">
        <v>627</v>
      </c>
      <c r="C100" t="str">
        <f t="shared" si="2"/>
        <v>Toyota Corolla Cross 1.8 Hybrid XS</v>
      </c>
      <c r="D100">
        <f t="shared" si="3"/>
        <v>442400</v>
      </c>
    </row>
    <row r="101" spans="2:4" ht="15" thickBot="1" x14ac:dyDescent="0.4">
      <c r="B101" s="1" t="s">
        <v>628</v>
      </c>
      <c r="C101" t="str">
        <f t="shared" si="2"/>
        <v>Mazda CX-3 2.0 Dynamic auto</v>
      </c>
      <c r="D101">
        <f t="shared" si="3"/>
        <v>443700</v>
      </c>
    </row>
    <row r="102" spans="2:4" ht="15" thickBot="1" x14ac:dyDescent="0.4">
      <c r="B102" s="1" t="s">
        <v>629</v>
      </c>
      <c r="C102" t="str">
        <f t="shared" si="2"/>
        <v>Suzuki Vitara 1.4T GLX</v>
      </c>
      <c r="D102">
        <f t="shared" si="3"/>
        <v>445900</v>
      </c>
    </row>
    <row r="103" spans="2:4" ht="15" thickBot="1" x14ac:dyDescent="0.4">
      <c r="B103" s="1" t="s">
        <v>630</v>
      </c>
      <c r="C103" t="str">
        <f t="shared" si="2"/>
        <v>Kia Seltos 1.6 EX auto</v>
      </c>
      <c r="D103">
        <f t="shared" si="3"/>
        <v>445995</v>
      </c>
    </row>
    <row r="104" spans="2:4" ht="15" thickBot="1" x14ac:dyDescent="0.4">
      <c r="B104" s="1" t="s">
        <v>631</v>
      </c>
      <c r="C104" t="str">
        <f t="shared" si="2"/>
        <v>Haval Jolion 1.5T Super Luxury</v>
      </c>
      <c r="D104">
        <f t="shared" si="3"/>
        <v>446950</v>
      </c>
    </row>
    <row r="105" spans="2:4" ht="15" thickBot="1" x14ac:dyDescent="0.4">
      <c r="B105" s="1" t="s">
        <v>632</v>
      </c>
      <c r="C105" t="str">
        <f t="shared" si="2"/>
        <v>Hyundai Creta 1.5 Premium auto</v>
      </c>
      <c r="D105">
        <f t="shared" si="3"/>
        <v>448900</v>
      </c>
    </row>
    <row r="106" spans="2:4" ht="15" thickBot="1" x14ac:dyDescent="0.4">
      <c r="B106" s="1" t="s">
        <v>633</v>
      </c>
      <c r="C106" t="str">
        <f t="shared" si="2"/>
        <v>Proton X50 1.5T Standard</v>
      </c>
      <c r="D106">
        <f t="shared" si="3"/>
        <v>449900</v>
      </c>
    </row>
    <row r="107" spans="2:4" ht="15" thickBot="1" x14ac:dyDescent="0.4">
      <c r="B107" s="1" t="s">
        <v>634</v>
      </c>
      <c r="C107" t="str">
        <f t="shared" si="2"/>
        <v>Toyota Corolla Cross 1.8 XR</v>
      </c>
      <c r="D107">
        <f t="shared" si="3"/>
        <v>451300</v>
      </c>
    </row>
    <row r="108" spans="2:4" ht="15" thickBot="1" x14ac:dyDescent="0.4">
      <c r="B108" s="1" t="s">
        <v>635</v>
      </c>
      <c r="C108" t="str">
        <f t="shared" si="2"/>
        <v>Volkswagen Taigo 1.0TSI Life</v>
      </c>
      <c r="D108">
        <f t="shared" si="3"/>
        <v>453800</v>
      </c>
    </row>
    <row r="109" spans="2:4" ht="15" thickBot="1" x14ac:dyDescent="0.4">
      <c r="B109" s="1" t="s">
        <v>636</v>
      </c>
      <c r="C109" t="str">
        <f t="shared" si="2"/>
        <v>Peugeot 2008 1.2T Active</v>
      </c>
      <c r="D109">
        <f t="shared" si="3"/>
        <v>454900</v>
      </c>
    </row>
    <row r="110" spans="2:4" ht="15" thickBot="1" x14ac:dyDescent="0.4">
      <c r="B110" s="1" t="s">
        <v>637</v>
      </c>
      <c r="C110" t="str">
        <f t="shared" si="2"/>
        <v>Mitsubishi ASX 2.0 LS auto</v>
      </c>
      <c r="D110">
        <f t="shared" si="3"/>
        <v>454990</v>
      </c>
    </row>
    <row r="111" spans="2:4" ht="15" thickBot="1" x14ac:dyDescent="0.4">
      <c r="B111" s="1" t="s">
        <v>638</v>
      </c>
      <c r="C111" t="str">
        <f t="shared" si="2"/>
        <v>Kia Seltos 1.5CRDi EX</v>
      </c>
      <c r="D111">
        <f t="shared" si="3"/>
        <v>457995</v>
      </c>
    </row>
    <row r="112" spans="2:4" ht="15" thickBot="1" x14ac:dyDescent="0.4">
      <c r="B112" s="1" t="s">
        <v>639</v>
      </c>
      <c r="C112" t="str">
        <f t="shared" si="2"/>
        <v>Toyota C-HR 1.2T</v>
      </c>
      <c r="D112">
        <f t="shared" si="3"/>
        <v>459500</v>
      </c>
    </row>
    <row r="113" spans="2:4" ht="15" thickBot="1" x14ac:dyDescent="0.4">
      <c r="B113" s="1" t="s">
        <v>640</v>
      </c>
      <c r="C113" t="str">
        <f t="shared" si="2"/>
        <v>Honda BR-V 1.5 Elegance</v>
      </c>
      <c r="D113">
        <f t="shared" si="3"/>
        <v>459900</v>
      </c>
    </row>
    <row r="114" spans="2:4" ht="15" thickBot="1" x14ac:dyDescent="0.4">
      <c r="B114" s="1" t="s">
        <v>641</v>
      </c>
      <c r="C114" t="str">
        <f t="shared" si="2"/>
        <v>Mahindra Scorpio 2.2CRDe 4WD S11 Adventure</v>
      </c>
      <c r="D114">
        <f t="shared" si="3"/>
        <v>461999</v>
      </c>
    </row>
    <row r="115" spans="2:4" ht="15" thickBot="1" x14ac:dyDescent="0.4">
      <c r="B115" s="1" t="s">
        <v>642</v>
      </c>
      <c r="C115" t="str">
        <f t="shared" si="2"/>
        <v>Hyundai Venue 1.0T N Line</v>
      </c>
      <c r="D115">
        <f t="shared" si="3"/>
        <v>463900</v>
      </c>
    </row>
    <row r="116" spans="2:4" ht="15" thickBot="1" x14ac:dyDescent="0.4">
      <c r="B116" s="1" t="s">
        <v>643</v>
      </c>
      <c r="C116" t="str">
        <f t="shared" si="2"/>
        <v>Kia Seltos 1.6 EX+</v>
      </c>
      <c r="D116">
        <f t="shared" si="3"/>
        <v>463995</v>
      </c>
    </row>
    <row r="117" spans="2:4" ht="15" thickBot="1" x14ac:dyDescent="0.4">
      <c r="B117" s="1" t="s">
        <v>644</v>
      </c>
      <c r="C117" t="str">
        <f t="shared" si="2"/>
        <v>Subaru XV 2.0i</v>
      </c>
      <c r="D117">
        <f t="shared" si="3"/>
        <v>464000</v>
      </c>
    </row>
    <row r="118" spans="2:4" ht="15" thickBot="1" x14ac:dyDescent="0.4">
      <c r="B118" s="1" t="s">
        <v>645</v>
      </c>
      <c r="C118" t="str">
        <f t="shared" si="2"/>
        <v>Mitsubishi ASX 2.0 Aspire</v>
      </c>
      <c r="D118">
        <f t="shared" si="3"/>
        <v>464995</v>
      </c>
    </row>
    <row r="119" spans="2:4" ht="15" thickBot="1" x14ac:dyDescent="0.4">
      <c r="B119" s="1" t="s">
        <v>646</v>
      </c>
      <c r="C119" t="str">
        <f t="shared" si="2"/>
        <v>Mahindra Scorpio-N 2.2D Z4</v>
      </c>
      <c r="D119">
        <f t="shared" si="3"/>
        <v>465000</v>
      </c>
    </row>
    <row r="120" spans="2:4" ht="15" thickBot="1" x14ac:dyDescent="0.4">
      <c r="B120" s="1" t="s">
        <v>647</v>
      </c>
      <c r="C120" t="str">
        <f t="shared" si="2"/>
        <v>Toyota Corolla Cross 1.8 GR-Sport</v>
      </c>
      <c r="D120">
        <f t="shared" si="3"/>
        <v>466800</v>
      </c>
    </row>
    <row r="121" spans="2:4" ht="15" thickBot="1" x14ac:dyDescent="0.4">
      <c r="B121" s="1" t="s">
        <v>648</v>
      </c>
      <c r="C121" t="str">
        <f t="shared" si="2"/>
        <v>Honda HR-V 1.5 Comfort</v>
      </c>
      <c r="D121">
        <f t="shared" si="3"/>
        <v>469000</v>
      </c>
    </row>
    <row r="122" spans="2:4" ht="15" thickBot="1" x14ac:dyDescent="0.4">
      <c r="B122" s="1" t="s">
        <v>649</v>
      </c>
      <c r="C122" t="str">
        <f t="shared" si="2"/>
        <v>Suzuki Vitara 1.4T GLX auto</v>
      </c>
      <c r="D122">
        <f t="shared" si="3"/>
        <v>469900</v>
      </c>
    </row>
    <row r="123" spans="2:4" ht="15" thickBot="1" x14ac:dyDescent="0.4">
      <c r="B123" s="1" t="s">
        <v>650</v>
      </c>
      <c r="C123" t="str">
        <f t="shared" si="2"/>
        <v>Chery Tiggo 7 Pro 1.5T Executive</v>
      </c>
      <c r="D123">
        <f t="shared" si="3"/>
        <v>472900</v>
      </c>
    </row>
    <row r="124" spans="2:4" ht="15" thickBot="1" x14ac:dyDescent="0.4">
      <c r="B124" s="1" t="s">
        <v>651</v>
      </c>
      <c r="C124" t="str">
        <f t="shared" si="2"/>
        <v>Mahindra XUV700 2.0T AX5</v>
      </c>
      <c r="D124">
        <f t="shared" si="3"/>
        <v>474999</v>
      </c>
    </row>
    <row r="125" spans="2:4" ht="15" thickBot="1" x14ac:dyDescent="0.4">
      <c r="B125" s="1" t="s">
        <v>652</v>
      </c>
      <c r="C125" t="str">
        <f t="shared" si="2"/>
        <v>Kia Seltos 1.5CRDi EX auto</v>
      </c>
      <c r="D125">
        <f t="shared" si="3"/>
        <v>475995</v>
      </c>
    </row>
    <row r="126" spans="2:4" ht="15" thickBot="1" x14ac:dyDescent="0.4">
      <c r="B126" s="1" t="s">
        <v>653</v>
      </c>
      <c r="C126" t="str">
        <f t="shared" si="2"/>
        <v>Hyundai Grand Creta 2.0 Executive</v>
      </c>
      <c r="D126">
        <f t="shared" si="3"/>
        <v>477900</v>
      </c>
    </row>
    <row r="127" spans="2:4" ht="15" thickBot="1" x14ac:dyDescent="0.4">
      <c r="B127" s="1" t="s">
        <v>654</v>
      </c>
      <c r="C127" t="str">
        <f t="shared" si="2"/>
        <v>Volkswagen T-Cross 1.0TSI 85kW Highline</v>
      </c>
      <c r="D127">
        <f t="shared" si="3"/>
        <v>478000</v>
      </c>
    </row>
    <row r="128" spans="2:4" ht="15" thickBot="1" x14ac:dyDescent="0.4">
      <c r="B128" s="1" t="s">
        <v>655</v>
      </c>
      <c r="C128" t="str">
        <f t="shared" si="2"/>
        <v>Opel Crossland 1.2T GS Line</v>
      </c>
      <c r="D128">
        <f t="shared" si="3"/>
        <v>478900</v>
      </c>
    </row>
    <row r="129" spans="2:4" ht="15" thickBot="1" x14ac:dyDescent="0.4">
      <c r="B129" s="1" t="s">
        <v>656</v>
      </c>
      <c r="C129" t="str">
        <f t="shared" si="2"/>
        <v>Haval H6 2.0GDIT Premium</v>
      </c>
      <c r="D129">
        <f t="shared" si="3"/>
        <v>479950</v>
      </c>
    </row>
    <row r="130" spans="2:4" ht="15" thickBot="1" x14ac:dyDescent="0.4">
      <c r="B130" s="1" t="s">
        <v>657</v>
      </c>
      <c r="C130" t="str">
        <f t="shared" si="2"/>
        <v>Mitsubishi Eclipse Cross 2.0 GLS</v>
      </c>
      <c r="D130">
        <f t="shared" si="3"/>
        <v>479990</v>
      </c>
    </row>
    <row r="131" spans="2:4" ht="15" thickBot="1" x14ac:dyDescent="0.4">
      <c r="B131" s="1" t="s">
        <v>658</v>
      </c>
      <c r="C131" t="str">
        <f t="shared" ref="C131:C194" si="4">TRIM(LEFT(B131, FIND("©",SUBSTITUTE(B131,"R","©",LEN(B131)-LEN(SUBSTITUTE(B131,"R",""))))-1))</f>
        <v>Toyota Corolla Cross 1.8 Hybrid XR</v>
      </c>
      <c r="D131">
        <f t="shared" ref="D131:D194" si="5">--SUBSTITUTE(TRIM(RIGHT(B131, LEN(B131) - FIND("©",SUBSTITUTE(B131,"R","©",LEN(B131)-LEN(SUBSTITUTE(B131,"R","")))))), " ", "")</f>
        <v>480200</v>
      </c>
    </row>
    <row r="132" spans="2:4" ht="15" thickBot="1" x14ac:dyDescent="0.4">
      <c r="B132" s="1" t="s">
        <v>659</v>
      </c>
      <c r="C132" t="str">
        <f t="shared" si="4"/>
        <v>Toyota C-HR 1.2T Plus</v>
      </c>
      <c r="D132">
        <f t="shared" si="5"/>
        <v>484000</v>
      </c>
    </row>
    <row r="133" spans="2:4" ht="15" thickBot="1" x14ac:dyDescent="0.4">
      <c r="B133" s="1" t="s">
        <v>660</v>
      </c>
      <c r="C133" t="str">
        <f t="shared" si="4"/>
        <v>Volkswagen Taigo 1.0TSI Style</v>
      </c>
      <c r="D133">
        <f t="shared" si="5"/>
        <v>489900</v>
      </c>
    </row>
    <row r="134" spans="2:4" ht="15" thickBot="1" x14ac:dyDescent="0.4">
      <c r="B134" s="1" t="s">
        <v>661</v>
      </c>
      <c r="C134" t="str">
        <f t="shared" si="4"/>
        <v>Kia Seltos 1.5CRDi EX+</v>
      </c>
      <c r="D134">
        <f t="shared" si="5"/>
        <v>493995</v>
      </c>
    </row>
    <row r="135" spans="2:4" ht="15" thickBot="1" x14ac:dyDescent="0.4">
      <c r="B135" s="1" t="s">
        <v>662</v>
      </c>
      <c r="C135" t="str">
        <f t="shared" si="4"/>
        <v>Toyota Corolla Cross 1.8 Hybrid GR-Sport</v>
      </c>
      <c r="D135">
        <f t="shared" si="5"/>
        <v>495200</v>
      </c>
    </row>
    <row r="136" spans="2:4" ht="15" thickBot="1" x14ac:dyDescent="0.4">
      <c r="B136" s="1" t="s">
        <v>663</v>
      </c>
      <c r="C136" t="str">
        <f t="shared" si="4"/>
        <v>Chery Tiggo 8 Pro 1.6TGDI 290T Distinction</v>
      </c>
      <c r="D136">
        <f t="shared" si="5"/>
        <v>496900</v>
      </c>
    </row>
    <row r="137" spans="2:4" ht="15" thickBot="1" x14ac:dyDescent="0.4">
      <c r="B137" s="1" t="s">
        <v>664</v>
      </c>
      <c r="C137" t="str">
        <f t="shared" si="4"/>
        <v>Mazda CX-30 2.0 Active</v>
      </c>
      <c r="D137">
        <f t="shared" si="5"/>
        <v>497700</v>
      </c>
    </row>
    <row r="138" spans="2:4" ht="15" thickBot="1" x14ac:dyDescent="0.4">
      <c r="B138" s="1" t="s">
        <v>665</v>
      </c>
      <c r="C138" t="str">
        <f t="shared" si="4"/>
        <v>Toyota C-HR 1.2T Plus auto</v>
      </c>
      <c r="D138">
        <f t="shared" si="5"/>
        <v>498500</v>
      </c>
    </row>
    <row r="139" spans="2:4" ht="15" thickBot="1" x14ac:dyDescent="0.4">
      <c r="B139" s="1" t="s">
        <v>666</v>
      </c>
      <c r="C139" t="str">
        <f t="shared" si="4"/>
        <v>Proton X50 1.5T Luxury</v>
      </c>
      <c r="D139">
        <f t="shared" si="5"/>
        <v>499900</v>
      </c>
    </row>
    <row r="140" spans="2:4" ht="15" thickBot="1" x14ac:dyDescent="0.4">
      <c r="B140" s="1" t="s">
        <v>667</v>
      </c>
      <c r="C140" t="str">
        <f t="shared" si="4"/>
        <v>Mahindra Scorpio-N 2.2D Z8</v>
      </c>
      <c r="D140">
        <f t="shared" si="5"/>
        <v>510000</v>
      </c>
    </row>
    <row r="141" spans="2:4" ht="15" thickBot="1" x14ac:dyDescent="0.4">
      <c r="B141" s="1" t="s">
        <v>668</v>
      </c>
      <c r="C141" t="str">
        <f t="shared" si="4"/>
        <v>Mazda CX-3 2.0 Individual</v>
      </c>
      <c r="D141">
        <f t="shared" si="5"/>
        <v>511600</v>
      </c>
    </row>
    <row r="142" spans="2:4" ht="15" thickBot="1" x14ac:dyDescent="0.4">
      <c r="B142" s="1" t="s">
        <v>669</v>
      </c>
      <c r="C142" t="str">
        <f t="shared" si="4"/>
        <v>Volkswagen Taigo 1.0TSI R-Line</v>
      </c>
      <c r="D142">
        <f t="shared" si="5"/>
        <v>513100</v>
      </c>
    </row>
    <row r="143" spans="2:4" ht="15" thickBot="1" x14ac:dyDescent="0.4">
      <c r="B143" s="1" t="s">
        <v>670</v>
      </c>
      <c r="C143" t="str">
        <f t="shared" si="4"/>
        <v>Mazda CX-5 2.0 Active</v>
      </c>
      <c r="D143">
        <f t="shared" si="5"/>
        <v>515600</v>
      </c>
    </row>
    <row r="144" spans="2:4" ht="15" thickBot="1" x14ac:dyDescent="0.4">
      <c r="B144" s="1" t="s">
        <v>671</v>
      </c>
      <c r="C144" t="str">
        <f t="shared" si="4"/>
        <v>Volkswagen T-Cross 1.5TSI 110kW R-Line</v>
      </c>
      <c r="D144">
        <f t="shared" si="5"/>
        <v>518800</v>
      </c>
    </row>
    <row r="145" spans="2:4" ht="15" thickBot="1" x14ac:dyDescent="0.4">
      <c r="B145" s="1" t="s">
        <v>672</v>
      </c>
      <c r="C145" t="str">
        <f t="shared" si="4"/>
        <v>Haval H6 2.0GDIT Luxury</v>
      </c>
      <c r="D145">
        <f t="shared" si="5"/>
        <v>518950</v>
      </c>
    </row>
    <row r="146" spans="2:4" ht="15" thickBot="1" x14ac:dyDescent="0.4">
      <c r="B146" s="1" t="s">
        <v>673</v>
      </c>
      <c r="C146" t="str">
        <f t="shared" si="4"/>
        <v>Mitsubishi Eclipse Cross 1.5T GLS</v>
      </c>
      <c r="D146">
        <f t="shared" si="5"/>
        <v>519990</v>
      </c>
    </row>
    <row r="147" spans="2:4" ht="15" thickBot="1" x14ac:dyDescent="0.4">
      <c r="B147" s="1" t="s">
        <v>674</v>
      </c>
      <c r="C147" t="str">
        <f t="shared" si="4"/>
        <v>Nissan X-Trail 2.0 Visia</v>
      </c>
      <c r="D147">
        <f t="shared" si="5"/>
        <v>520900</v>
      </c>
    </row>
    <row r="148" spans="2:4" ht="15" thickBot="1" x14ac:dyDescent="0.4">
      <c r="B148" s="1" t="s">
        <v>675</v>
      </c>
      <c r="C148" t="str">
        <f t="shared" si="4"/>
        <v>Kia Seltos 1.4T-GDI GT Line</v>
      </c>
      <c r="D148">
        <f t="shared" si="5"/>
        <v>523995</v>
      </c>
    </row>
    <row r="149" spans="2:4" ht="15" thickBot="1" x14ac:dyDescent="0.4">
      <c r="B149" s="1" t="s">
        <v>676</v>
      </c>
      <c r="C149" t="str">
        <f t="shared" si="4"/>
        <v>Mahindra XUV700 2.0T AX7</v>
      </c>
      <c r="D149">
        <f t="shared" si="5"/>
        <v>524999</v>
      </c>
    </row>
    <row r="150" spans="2:4" ht="15" thickBot="1" x14ac:dyDescent="0.4">
      <c r="B150" s="1" t="s">
        <v>677</v>
      </c>
      <c r="C150" t="str">
        <f t="shared" si="4"/>
        <v>Mazda CX-30 2.0 Dynamic</v>
      </c>
      <c r="D150">
        <f t="shared" si="5"/>
        <v>529600</v>
      </c>
    </row>
    <row r="151" spans="2:4" ht="15" thickBot="1" x14ac:dyDescent="0.4">
      <c r="B151" s="1" t="s">
        <v>678</v>
      </c>
      <c r="C151" t="str">
        <f t="shared" si="4"/>
        <v>Proton X70 1.5T Standard</v>
      </c>
      <c r="D151">
        <f t="shared" si="5"/>
        <v>529900</v>
      </c>
    </row>
    <row r="152" spans="2:4" ht="15" thickBot="1" x14ac:dyDescent="0.4">
      <c r="B152" s="1" t="s">
        <v>679</v>
      </c>
      <c r="C152" t="str">
        <f t="shared" si="4"/>
        <v>Mazda CX-5 2.0 Active auto</v>
      </c>
      <c r="D152">
        <f t="shared" si="5"/>
        <v>530900</v>
      </c>
    </row>
    <row r="153" spans="2:4" ht="15" thickBot="1" x14ac:dyDescent="0.4">
      <c r="B153" s="1" t="s">
        <v>680</v>
      </c>
      <c r="C153" t="str">
        <f t="shared" si="4"/>
        <v>Subaru XV 2.0i-S ES</v>
      </c>
      <c r="D153">
        <f t="shared" si="5"/>
        <v>531000</v>
      </c>
    </row>
    <row r="154" spans="2:4" ht="15" thickBot="1" x14ac:dyDescent="0.4">
      <c r="B154" s="1" t="s">
        <v>681</v>
      </c>
      <c r="C154" t="str">
        <f t="shared" si="4"/>
        <v>Mazda CX-3 2.0 Hikari</v>
      </c>
      <c r="D154">
        <f t="shared" si="5"/>
        <v>532600</v>
      </c>
    </row>
    <row r="155" spans="2:4" ht="15" thickBot="1" x14ac:dyDescent="0.4">
      <c r="B155" s="1" t="s">
        <v>682</v>
      </c>
      <c r="C155" t="str">
        <f t="shared" si="4"/>
        <v>Proton X50 1.5T Executive</v>
      </c>
      <c r="D155">
        <f t="shared" si="5"/>
        <v>535900</v>
      </c>
    </row>
    <row r="156" spans="2:4" ht="15" thickBot="1" x14ac:dyDescent="0.4">
      <c r="B156" s="1" t="s">
        <v>683</v>
      </c>
      <c r="C156" t="str">
        <f t="shared" si="4"/>
        <v>Opel Mokka 1.2T GS Line</v>
      </c>
      <c r="D156">
        <f t="shared" si="5"/>
        <v>539900</v>
      </c>
    </row>
    <row r="157" spans="2:4" ht="15" thickBot="1" x14ac:dyDescent="0.4">
      <c r="B157" s="1" t="s">
        <v>684</v>
      </c>
      <c r="C157" t="str">
        <f t="shared" si="4"/>
        <v>Mazda CX-30 2.0 Carbon Edition</v>
      </c>
      <c r="D157">
        <f t="shared" si="5"/>
        <v>540200</v>
      </c>
    </row>
    <row r="158" spans="2:4" ht="15" thickBot="1" x14ac:dyDescent="0.4">
      <c r="B158" s="1" t="s">
        <v>685</v>
      </c>
      <c r="C158" t="str">
        <f t="shared" si="4"/>
        <v>Hyundai Grand Creta 1.5D Executive</v>
      </c>
      <c r="D158">
        <f t="shared" si="5"/>
        <v>540900</v>
      </c>
    </row>
    <row r="159" spans="2:4" ht="15" thickBot="1" x14ac:dyDescent="0.4">
      <c r="B159" s="1" t="s">
        <v>686</v>
      </c>
      <c r="C159" t="str">
        <f t="shared" si="4"/>
        <v>Peugeot 2008 1.2T GT</v>
      </c>
      <c r="D159">
        <f t="shared" si="5"/>
        <v>544900</v>
      </c>
    </row>
    <row r="160" spans="2:4" ht="15" thickBot="1" x14ac:dyDescent="0.4">
      <c r="B160" s="1" t="s">
        <v>687</v>
      </c>
      <c r="C160" t="str">
        <f t="shared" si="4"/>
        <v>Jeep Renegade 1.4T Limited</v>
      </c>
      <c r="D160">
        <f t="shared" si="5"/>
        <v>549900</v>
      </c>
    </row>
    <row r="161" spans="2:4" ht="15" thickBot="1" x14ac:dyDescent="0.4">
      <c r="B161" s="1" t="s">
        <v>688</v>
      </c>
      <c r="C161" t="str">
        <f t="shared" si="4"/>
        <v>Haval H6 2.0GDIT 4WD Luxury</v>
      </c>
      <c r="D161">
        <f t="shared" si="5"/>
        <v>549950</v>
      </c>
    </row>
    <row r="162" spans="2:4" ht="15" thickBot="1" x14ac:dyDescent="0.4">
      <c r="B162" s="1" t="s">
        <v>689</v>
      </c>
      <c r="C162" t="str">
        <f t="shared" si="4"/>
        <v>Hyundai Tucson 2.0 Premium</v>
      </c>
      <c r="D162">
        <f t="shared" si="5"/>
        <v>550900</v>
      </c>
    </row>
    <row r="163" spans="2:4" ht="15" thickBot="1" x14ac:dyDescent="0.4">
      <c r="B163" s="1" t="s">
        <v>690</v>
      </c>
      <c r="C163" t="str">
        <f t="shared" si="4"/>
        <v>Honda HR-V 1.5 Executive</v>
      </c>
      <c r="D163">
        <f t="shared" si="5"/>
        <v>554500</v>
      </c>
    </row>
    <row r="164" spans="2:4" ht="15" thickBot="1" x14ac:dyDescent="0.4">
      <c r="B164" s="1" t="s">
        <v>691</v>
      </c>
      <c r="C164" t="str">
        <f t="shared" si="4"/>
        <v>Kia Sportage 1.6T-GDi LX</v>
      </c>
      <c r="D164">
        <f t="shared" si="5"/>
        <v>554995</v>
      </c>
    </row>
    <row r="165" spans="2:4" ht="15" thickBot="1" x14ac:dyDescent="0.4">
      <c r="B165" s="1" t="s">
        <v>692</v>
      </c>
      <c r="C165" t="str">
        <f t="shared" si="4"/>
        <v>Mahindra XUV700 2.0T AX7 L</v>
      </c>
      <c r="D165">
        <f t="shared" si="5"/>
        <v>559999</v>
      </c>
    </row>
    <row r="166" spans="2:4" ht="15" thickBot="1" x14ac:dyDescent="0.4">
      <c r="B166" s="1" t="s">
        <v>693</v>
      </c>
      <c r="C166" t="str">
        <f t="shared" si="4"/>
        <v>Mitsubishi Eclipse Cross 1.5T GLS Exceed</v>
      </c>
      <c r="D166">
        <f t="shared" si="5"/>
        <v>560000</v>
      </c>
    </row>
    <row r="167" spans="2:4" ht="15" thickBot="1" x14ac:dyDescent="0.4">
      <c r="B167" s="1" t="s">
        <v>694</v>
      </c>
      <c r="C167" t="str">
        <f t="shared" si="4"/>
        <v>Fiat 500X 1.4T Sport</v>
      </c>
      <c r="D167">
        <f t="shared" si="5"/>
        <v>560900</v>
      </c>
    </row>
    <row r="168" spans="2:4" ht="15" thickBot="1" x14ac:dyDescent="0.4">
      <c r="B168" s="1" t="s">
        <v>695</v>
      </c>
      <c r="C168" t="str">
        <f t="shared" si="4"/>
        <v>Opel Grandland X 1.6T</v>
      </c>
      <c r="D168">
        <f t="shared" si="5"/>
        <v>562900</v>
      </c>
    </row>
    <row r="169" spans="2:4" ht="15" thickBot="1" x14ac:dyDescent="0.4">
      <c r="B169" s="1" t="s">
        <v>696</v>
      </c>
      <c r="C169" t="str">
        <f t="shared" si="4"/>
        <v>BAIC B40 Plus 2.0TDi</v>
      </c>
      <c r="D169">
        <f t="shared" si="5"/>
        <v>564500</v>
      </c>
    </row>
    <row r="170" spans="2:4" ht="15" thickBot="1" x14ac:dyDescent="0.4">
      <c r="B170" s="1" t="s">
        <v>697</v>
      </c>
      <c r="C170" t="str">
        <f t="shared" si="4"/>
        <v>Mazda CX-5 2.0 Dynamic</v>
      </c>
      <c r="D170">
        <f t="shared" si="5"/>
        <v>565100</v>
      </c>
    </row>
    <row r="171" spans="2:4" ht="15" thickBot="1" x14ac:dyDescent="0.4">
      <c r="B171" s="1" t="s">
        <v>698</v>
      </c>
      <c r="C171" t="str">
        <f t="shared" si="4"/>
        <v>Nissan Qashqai 1.3T Visia</v>
      </c>
      <c r="D171">
        <f t="shared" si="5"/>
        <v>568200</v>
      </c>
    </row>
    <row r="172" spans="2:4" ht="15" thickBot="1" x14ac:dyDescent="0.4">
      <c r="B172" s="1" t="s">
        <v>699</v>
      </c>
      <c r="C172" t="str">
        <f t="shared" si="4"/>
        <v>Hyundai Grand Creta 2.0 Elite</v>
      </c>
      <c r="D172">
        <f t="shared" si="5"/>
        <v>571900</v>
      </c>
    </row>
    <row r="173" spans="2:4" ht="15" thickBot="1" x14ac:dyDescent="0.4">
      <c r="B173" s="1" t="s">
        <v>700</v>
      </c>
      <c r="C173" t="str">
        <f t="shared" si="4"/>
        <v>Nissan X-Trail 2.5 4x4 Acenta</v>
      </c>
      <c r="D173">
        <f t="shared" si="5"/>
        <v>572000</v>
      </c>
    </row>
    <row r="174" spans="2:4" ht="15" thickBot="1" x14ac:dyDescent="0.4">
      <c r="B174" s="1" t="s">
        <v>701</v>
      </c>
      <c r="C174" t="str">
        <f t="shared" si="4"/>
        <v>Volkswagen T-Roc 1.4TSI 110kW Design</v>
      </c>
      <c r="D174">
        <f t="shared" si="5"/>
        <v>572300</v>
      </c>
    </row>
    <row r="175" spans="2:4" ht="15" thickBot="1" x14ac:dyDescent="0.4">
      <c r="B175" s="1" t="s">
        <v>702</v>
      </c>
      <c r="C175" t="str">
        <f t="shared" si="4"/>
        <v>Mazda CX-30 2.0 Individual</v>
      </c>
      <c r="D175">
        <f t="shared" si="5"/>
        <v>573100</v>
      </c>
    </row>
    <row r="176" spans="2:4" ht="15" thickBot="1" x14ac:dyDescent="0.4">
      <c r="B176" s="1" t="s">
        <v>703</v>
      </c>
      <c r="C176" t="str">
        <f t="shared" si="4"/>
        <v>Chery Tiggo 8 Pro 1.6TGDI 290T Executive</v>
      </c>
      <c r="D176">
        <f t="shared" si="5"/>
        <v>574900</v>
      </c>
    </row>
    <row r="177" spans="2:4" ht="15" thickBot="1" x14ac:dyDescent="0.4">
      <c r="B177" s="1" t="s">
        <v>704</v>
      </c>
      <c r="C177" t="str">
        <f t="shared" si="4"/>
        <v>Toyota C-HR 1.2T Luxury</v>
      </c>
      <c r="D177">
        <f t="shared" si="5"/>
        <v>576900</v>
      </c>
    </row>
    <row r="178" spans="2:4" ht="15" thickBot="1" x14ac:dyDescent="0.4">
      <c r="B178" s="1" t="s">
        <v>705</v>
      </c>
      <c r="C178" t="str">
        <f t="shared" si="4"/>
        <v>Proton X70 1.5T Executive</v>
      </c>
      <c r="D178">
        <f t="shared" si="5"/>
        <v>579900</v>
      </c>
    </row>
    <row r="179" spans="2:4" ht="15" thickBot="1" x14ac:dyDescent="0.4">
      <c r="B179" s="1" t="s">
        <v>706</v>
      </c>
      <c r="C179" t="str">
        <f t="shared" si="4"/>
        <v>Haval Jolion 1.5 HEV Super Luxury</v>
      </c>
      <c r="D179">
        <f t="shared" si="5"/>
        <v>579950</v>
      </c>
    </row>
    <row r="180" spans="2:4" ht="15" thickBot="1" x14ac:dyDescent="0.4">
      <c r="B180" s="1" t="s">
        <v>707</v>
      </c>
      <c r="C180" t="str">
        <f t="shared" si="4"/>
        <v>Fiat 500X 1.4T Sport EST</v>
      </c>
      <c r="D180">
        <f t="shared" si="5"/>
        <v>580900</v>
      </c>
    </row>
    <row r="181" spans="2:4" ht="15" thickBot="1" x14ac:dyDescent="0.4">
      <c r="B181" s="1" t="s">
        <v>708</v>
      </c>
      <c r="C181" t="str">
        <f t="shared" si="4"/>
        <v>Renault Koleos 2.5 Dynamique</v>
      </c>
      <c r="D181">
        <f t="shared" si="5"/>
        <v>584999</v>
      </c>
    </row>
    <row r="182" spans="2:4" ht="15" thickBot="1" x14ac:dyDescent="0.4">
      <c r="B182" s="1" t="s">
        <v>709</v>
      </c>
      <c r="C182" t="str">
        <f t="shared" si="4"/>
        <v>Honda CR-V 2.0 Comfort</v>
      </c>
      <c r="D182">
        <f t="shared" si="5"/>
        <v>586600</v>
      </c>
    </row>
    <row r="183" spans="2:4" ht="15" thickBot="1" x14ac:dyDescent="0.4">
      <c r="B183" s="1" t="s">
        <v>710</v>
      </c>
      <c r="C183" t="str">
        <f t="shared" si="4"/>
        <v>Audi Q2 35TFSI</v>
      </c>
      <c r="D183">
        <f t="shared" si="5"/>
        <v>587600</v>
      </c>
    </row>
    <row r="184" spans="2:4" ht="15" thickBot="1" x14ac:dyDescent="0.4">
      <c r="B184" s="1" t="s">
        <v>711</v>
      </c>
      <c r="C184" t="str">
        <f t="shared" si="4"/>
        <v>Volkswagen Tiguan 1.4TSI 110kW</v>
      </c>
      <c r="D184">
        <f t="shared" si="5"/>
        <v>589000</v>
      </c>
    </row>
    <row r="185" spans="2:4" ht="15" thickBot="1" x14ac:dyDescent="0.4">
      <c r="B185" s="1" t="s">
        <v>712</v>
      </c>
      <c r="C185" t="str">
        <f t="shared" si="4"/>
        <v>Peugeot 3008 1.6T Active</v>
      </c>
      <c r="D185">
        <f t="shared" si="5"/>
        <v>589900</v>
      </c>
    </row>
    <row r="186" spans="2:4" ht="15" thickBot="1" x14ac:dyDescent="0.4">
      <c r="B186" s="1" t="s">
        <v>713</v>
      </c>
      <c r="C186" t="str">
        <f t="shared" si="4"/>
        <v>Haval H6 2.0GDIT 4WD Super Luxury</v>
      </c>
      <c r="D186">
        <f t="shared" si="5"/>
        <v>589950</v>
      </c>
    </row>
    <row r="187" spans="2:4" ht="15" thickBot="1" x14ac:dyDescent="0.4">
      <c r="B187" s="1" t="s">
        <v>714</v>
      </c>
      <c r="C187" t="str">
        <f t="shared" si="4"/>
        <v>Mitsubishi Outlander 2.4 GLS</v>
      </c>
      <c r="D187">
        <f t="shared" si="5"/>
        <v>589990</v>
      </c>
    </row>
    <row r="188" spans="2:4" ht="15" thickBot="1" x14ac:dyDescent="0.4">
      <c r="B188" s="1" t="s">
        <v>715</v>
      </c>
      <c r="C188" t="str">
        <f t="shared" si="4"/>
        <v>Mahindra Scorpio-N 2.2D Z8L 4XPlor</v>
      </c>
      <c r="D188">
        <f t="shared" si="5"/>
        <v>590000</v>
      </c>
    </row>
    <row r="189" spans="2:4" ht="15" thickBot="1" x14ac:dyDescent="0.4">
      <c r="B189" s="1" t="s">
        <v>716</v>
      </c>
      <c r="C189" t="str">
        <f t="shared" si="4"/>
        <v>Hyundai Grand Creta 1.5D Elite</v>
      </c>
      <c r="D189">
        <f t="shared" si="5"/>
        <v>592900</v>
      </c>
    </row>
    <row r="190" spans="2:4" ht="15" thickBot="1" x14ac:dyDescent="0.4">
      <c r="B190" s="1" t="s">
        <v>717</v>
      </c>
      <c r="C190" t="str">
        <f t="shared" si="4"/>
        <v>BAIC B40 Plus 2.0TDi City Hunter</v>
      </c>
      <c r="D190">
        <f t="shared" si="5"/>
        <v>594500</v>
      </c>
    </row>
    <row r="191" spans="2:4" ht="15" thickBot="1" x14ac:dyDescent="0.4">
      <c r="B191" s="1" t="s">
        <v>718</v>
      </c>
      <c r="C191" t="str">
        <f t="shared" si="4"/>
        <v>BAIC B40 Plus 2.0T</v>
      </c>
      <c r="D191">
        <f t="shared" si="5"/>
        <v>599500</v>
      </c>
    </row>
    <row r="192" spans="2:4" ht="15" thickBot="1" x14ac:dyDescent="0.4">
      <c r="B192" s="1" t="s">
        <v>719</v>
      </c>
      <c r="C192" t="str">
        <f t="shared" si="4"/>
        <v>Hyundai Tucson 2.0 Executive</v>
      </c>
      <c r="D192">
        <f t="shared" si="5"/>
        <v>601900</v>
      </c>
    </row>
    <row r="193" spans="2:4" ht="15" thickBot="1" x14ac:dyDescent="0.4">
      <c r="B193" s="1" t="s">
        <v>720</v>
      </c>
      <c r="C193" t="str">
        <f t="shared" si="4"/>
        <v>Kia Sportage 1.6T-GDi EX</v>
      </c>
      <c r="D193">
        <f t="shared" si="5"/>
        <v>608995</v>
      </c>
    </row>
    <row r="194" spans="2:4" ht="15" thickBot="1" x14ac:dyDescent="0.4">
      <c r="B194" s="1" t="s">
        <v>721</v>
      </c>
      <c r="C194" t="str">
        <f t="shared" si="4"/>
        <v>Subaru Forester 2.0i-S ES</v>
      </c>
      <c r="D194">
        <f t="shared" si="5"/>
        <v>609000</v>
      </c>
    </row>
    <row r="195" spans="2:4" ht="15" thickBot="1" x14ac:dyDescent="0.4">
      <c r="B195" s="1" t="s">
        <v>722</v>
      </c>
      <c r="C195" t="str">
        <f t="shared" ref="C195:C258" si="6">TRIM(LEFT(B195, FIND("©",SUBSTITUTE(B195,"R","©",LEN(B195)-LEN(SUBSTITUTE(B195,"R",""))))-1))</f>
        <v>Hyundai Kona 1.6T N Line</v>
      </c>
      <c r="D195">
        <f t="shared" ref="D195:D258" si="7">--SUBSTITUTE(TRIM(RIGHT(B195, LEN(B195) - FIND("©",SUBSTITUTE(B195,"R","©",LEN(B195)-LEN(SUBSTITUTE(B195,"R","")))))), " ", "")</f>
        <v>615900</v>
      </c>
    </row>
    <row r="196" spans="2:4" ht="15" thickBot="1" x14ac:dyDescent="0.4">
      <c r="B196" s="1" t="s">
        <v>723</v>
      </c>
      <c r="C196" t="str">
        <f t="shared" si="6"/>
        <v>Audi Q2 35TFSI S line</v>
      </c>
      <c r="D196">
        <f t="shared" si="7"/>
        <v>617800</v>
      </c>
    </row>
    <row r="197" spans="2:4" ht="15" thickBot="1" x14ac:dyDescent="0.4">
      <c r="B197" s="1" t="s">
        <v>724</v>
      </c>
      <c r="C197" t="str">
        <f t="shared" si="6"/>
        <v>Opel Grandland X 1.6T Edition</v>
      </c>
      <c r="D197">
        <f t="shared" si="7"/>
        <v>619900</v>
      </c>
    </row>
    <row r="198" spans="2:4" ht="15" thickBot="1" x14ac:dyDescent="0.4">
      <c r="B198" s="1" t="s">
        <v>725</v>
      </c>
      <c r="C198" t="str">
        <f t="shared" si="6"/>
        <v>Volkswagen Tiguan Allspace 1.4TSI 110kW</v>
      </c>
      <c r="D198">
        <f t="shared" si="7"/>
        <v>629200</v>
      </c>
    </row>
    <row r="199" spans="2:4" ht="15" thickBot="1" x14ac:dyDescent="0.4">
      <c r="B199" s="1" t="s">
        <v>726</v>
      </c>
      <c r="C199" t="str">
        <f t="shared" si="6"/>
        <v>Proton X70 1.5T Executive AWD</v>
      </c>
      <c r="D199">
        <f t="shared" si="7"/>
        <v>629900</v>
      </c>
    </row>
    <row r="200" spans="2:4" ht="15" thickBot="1" x14ac:dyDescent="0.4">
      <c r="B200" s="1" t="s">
        <v>727</v>
      </c>
      <c r="C200" t="str">
        <f t="shared" si="6"/>
        <v>Haval H6 GT 2.0GDIT 4WD Super Luxury</v>
      </c>
      <c r="D200">
        <f t="shared" si="7"/>
        <v>629950</v>
      </c>
    </row>
    <row r="201" spans="2:4" ht="15" thickBot="1" x14ac:dyDescent="0.4">
      <c r="B201" s="1" t="s">
        <v>728</v>
      </c>
      <c r="C201" t="str">
        <f t="shared" si="6"/>
        <v>Citroën C5 Aircross 1.6T Feel</v>
      </c>
      <c r="D201">
        <f t="shared" si="7"/>
        <v>633900</v>
      </c>
    </row>
    <row r="202" spans="2:4" ht="15" thickBot="1" x14ac:dyDescent="0.4">
      <c r="B202" s="1" t="s">
        <v>729</v>
      </c>
      <c r="C202" t="str">
        <f t="shared" si="6"/>
        <v>Renault Koleos 2.5 Dynamique 4WD</v>
      </c>
      <c r="D202">
        <f t="shared" si="7"/>
        <v>634999</v>
      </c>
    </row>
    <row r="203" spans="2:4" ht="15" thickBot="1" x14ac:dyDescent="0.4">
      <c r="B203" s="1" t="s">
        <v>730</v>
      </c>
      <c r="C203" t="str">
        <f t="shared" si="6"/>
        <v>Volkswagen T-Roc 2.0TSI 140kW 4Motion Design</v>
      </c>
      <c r="D203">
        <f t="shared" si="7"/>
        <v>636700</v>
      </c>
    </row>
    <row r="204" spans="2:4" ht="15" thickBot="1" x14ac:dyDescent="0.4">
      <c r="B204" s="1" t="s">
        <v>731</v>
      </c>
      <c r="C204" t="str">
        <f t="shared" si="6"/>
        <v>Nissan Qashqai 1.3T Acenta</v>
      </c>
      <c r="D204">
        <f t="shared" si="7"/>
        <v>639300</v>
      </c>
    </row>
    <row r="205" spans="2:4" ht="15" thickBot="1" x14ac:dyDescent="0.4">
      <c r="B205" s="1" t="s">
        <v>732</v>
      </c>
      <c r="C205" t="str">
        <f t="shared" si="6"/>
        <v>Proton X70 1.5T Premium X</v>
      </c>
      <c r="D205">
        <f t="shared" si="7"/>
        <v>639900</v>
      </c>
    </row>
    <row r="206" spans="2:4" ht="15" thickBot="1" x14ac:dyDescent="0.4">
      <c r="B206" s="1" t="s">
        <v>733</v>
      </c>
      <c r="C206" t="str">
        <f t="shared" si="6"/>
        <v>Mazda CX-5 2.0 Carbon Edition</v>
      </c>
      <c r="D206">
        <f t="shared" si="7"/>
        <v>640600</v>
      </c>
    </row>
    <row r="207" spans="2:4" ht="15" thickBot="1" x14ac:dyDescent="0.4">
      <c r="B207" s="1" t="s">
        <v>734</v>
      </c>
      <c r="C207" t="str">
        <f t="shared" si="6"/>
        <v>MINI Cooper Countryman</v>
      </c>
      <c r="D207">
        <f t="shared" si="7"/>
        <v>644940</v>
      </c>
    </row>
    <row r="208" spans="2:4" ht="15" thickBot="1" x14ac:dyDescent="0.4">
      <c r="B208" s="1" t="s">
        <v>735</v>
      </c>
      <c r="C208" t="str">
        <f t="shared" si="6"/>
        <v>Subaru Forester 2.5i-Sport ES</v>
      </c>
      <c r="D208">
        <f t="shared" si="7"/>
        <v>646000</v>
      </c>
    </row>
    <row r="209" spans="2:4" ht="15" thickBot="1" x14ac:dyDescent="0.4">
      <c r="B209" s="1" t="s">
        <v>736</v>
      </c>
      <c r="C209" t="str">
        <f t="shared" si="6"/>
        <v>BAIC B40 Plus 2.0T City Hunter</v>
      </c>
      <c r="D209">
        <f t="shared" si="7"/>
        <v>649500</v>
      </c>
    </row>
    <row r="210" spans="2:4" ht="15" thickBot="1" x14ac:dyDescent="0.4">
      <c r="B210" s="1" t="s">
        <v>737</v>
      </c>
      <c r="C210" t="str">
        <f t="shared" si="6"/>
        <v>Honda CR-V 2.0 Elegance</v>
      </c>
      <c r="D210">
        <f t="shared" si="7"/>
        <v>651700</v>
      </c>
    </row>
    <row r="211" spans="2:4" ht="15" thickBot="1" x14ac:dyDescent="0.4">
      <c r="B211" s="1" t="s">
        <v>738</v>
      </c>
      <c r="C211" t="str">
        <f t="shared" si="6"/>
        <v>Toyota Fortuner 2.4GD-6</v>
      </c>
      <c r="D211">
        <f t="shared" si="7"/>
        <v>653450</v>
      </c>
    </row>
    <row r="212" spans="2:4" ht="15" thickBot="1" x14ac:dyDescent="0.4">
      <c r="B212" s="1" t="s">
        <v>739</v>
      </c>
      <c r="C212" t="str">
        <f t="shared" si="6"/>
        <v>Volkswagen Tiguan 1.4TSI 110kW Life</v>
      </c>
      <c r="D212">
        <f t="shared" si="7"/>
        <v>658200</v>
      </c>
    </row>
    <row r="213" spans="2:4" ht="15" thickBot="1" x14ac:dyDescent="0.4">
      <c r="B213" s="1" t="s">
        <v>740</v>
      </c>
      <c r="C213" t="str">
        <f t="shared" si="6"/>
        <v>Toyota RAV4 2.0 GX-R AWD</v>
      </c>
      <c r="D213">
        <f t="shared" si="7"/>
        <v>658500</v>
      </c>
    </row>
    <row r="214" spans="2:4" ht="15" thickBot="1" x14ac:dyDescent="0.4">
      <c r="B214" s="1" t="s">
        <v>741</v>
      </c>
      <c r="C214" t="str">
        <f t="shared" si="6"/>
        <v>Nissan X-Trail 1.6dCi 4x4 Tekna</v>
      </c>
      <c r="D214">
        <f t="shared" si="7"/>
        <v>660000</v>
      </c>
    </row>
    <row r="215" spans="2:4" ht="15" thickBot="1" x14ac:dyDescent="0.4">
      <c r="B215" s="1" t="s">
        <v>742</v>
      </c>
      <c r="C215" t="str">
        <f t="shared" si="6"/>
        <v>Peugeot 3008 1.6T Allure</v>
      </c>
      <c r="D215">
        <f t="shared" si="7"/>
        <v>664900</v>
      </c>
    </row>
    <row r="216" spans="2:4" ht="15" thickBot="1" x14ac:dyDescent="0.4">
      <c r="B216" s="1" t="s">
        <v>743</v>
      </c>
      <c r="C216" t="str">
        <f t="shared" si="6"/>
        <v>Kia Sportage 1.6T-GDi GT Line</v>
      </c>
      <c r="D216">
        <f t="shared" si="7"/>
        <v>664995</v>
      </c>
    </row>
    <row r="217" spans="2:4" ht="15" thickBot="1" x14ac:dyDescent="0.4">
      <c r="B217" s="1" t="s">
        <v>744</v>
      </c>
      <c r="C217" t="str">
        <f t="shared" si="6"/>
        <v>BAIC B40 Plus 2.0T Champion</v>
      </c>
      <c r="D217">
        <f t="shared" si="7"/>
        <v>669500</v>
      </c>
    </row>
    <row r="218" spans="2:4" ht="15" thickBot="1" x14ac:dyDescent="0.4">
      <c r="B218" s="1" t="s">
        <v>745</v>
      </c>
      <c r="C218" t="str">
        <f t="shared" si="6"/>
        <v>Hyundai Tucson 2.0 Elite</v>
      </c>
      <c r="D218">
        <f t="shared" si="7"/>
        <v>669900</v>
      </c>
    </row>
    <row r="219" spans="2:4" ht="15" thickBot="1" x14ac:dyDescent="0.4">
      <c r="B219" s="1" t="s">
        <v>746</v>
      </c>
      <c r="C219" t="str">
        <f t="shared" si="6"/>
        <v>Haval H6 1.5T HEV Ultra Luxury</v>
      </c>
      <c r="D219">
        <f t="shared" si="7"/>
        <v>669950</v>
      </c>
    </row>
    <row r="220" spans="2:4" ht="15" thickBot="1" x14ac:dyDescent="0.4">
      <c r="B220" s="1" t="s">
        <v>747</v>
      </c>
      <c r="C220" t="str">
        <f t="shared" si="6"/>
        <v>Volkswagen T-Roc 2.0TSI 140kW 4Motion R-Line</v>
      </c>
      <c r="D220">
        <f t="shared" si="7"/>
        <v>670300</v>
      </c>
    </row>
    <row r="221" spans="2:4" ht="15" thickBot="1" x14ac:dyDescent="0.4">
      <c r="B221" s="1" t="s">
        <v>748</v>
      </c>
      <c r="C221" t="str">
        <f t="shared" si="6"/>
        <v>Nissan Qashqai 1.3T Acenta Plus</v>
      </c>
      <c r="D221">
        <f t="shared" si="7"/>
        <v>670600</v>
      </c>
    </row>
    <row r="222" spans="2:4" ht="15" thickBot="1" x14ac:dyDescent="0.4">
      <c r="B222" s="1" t="s">
        <v>749</v>
      </c>
      <c r="C222" t="str">
        <f t="shared" si="6"/>
        <v>Toyota RAV4 2.0 VX</v>
      </c>
      <c r="D222">
        <f t="shared" si="7"/>
        <v>671600</v>
      </c>
    </row>
    <row r="223" spans="2:4" ht="15" thickBot="1" x14ac:dyDescent="0.4">
      <c r="B223" s="1" t="s">
        <v>750</v>
      </c>
      <c r="C223" t="str">
        <f t="shared" si="6"/>
        <v>Audi Q3 35TFSI</v>
      </c>
      <c r="D223">
        <f t="shared" si="7"/>
        <v>674400</v>
      </c>
    </row>
    <row r="224" spans="2:4" ht="15" thickBot="1" x14ac:dyDescent="0.4">
      <c r="B224" s="1" t="s">
        <v>751</v>
      </c>
      <c r="C224" t="str">
        <f t="shared" si="6"/>
        <v>Nissan X-Trail 2.5 4x4 Tekna</v>
      </c>
      <c r="D224">
        <f t="shared" si="7"/>
        <v>674900</v>
      </c>
    </row>
    <row r="225" spans="2:4" ht="15" thickBot="1" x14ac:dyDescent="0.4">
      <c r="B225" s="1" t="s">
        <v>752</v>
      </c>
      <c r="C225" t="str">
        <f t="shared" si="6"/>
        <v>Toyota Fortuner 2.4GD-6 auto</v>
      </c>
      <c r="D225">
        <f t="shared" si="7"/>
        <v>677450</v>
      </c>
    </row>
    <row r="226" spans="2:4" ht="15" thickBot="1" x14ac:dyDescent="0.4">
      <c r="B226" s="1" t="s">
        <v>753</v>
      </c>
      <c r="C226" t="str">
        <f t="shared" si="6"/>
        <v>Volvo XC40 B3 Essential</v>
      </c>
      <c r="D226">
        <f t="shared" si="7"/>
        <v>677700</v>
      </c>
    </row>
    <row r="227" spans="2:4" ht="15" thickBot="1" x14ac:dyDescent="0.4">
      <c r="B227" s="1" t="s">
        <v>754</v>
      </c>
      <c r="C227" t="str">
        <f t="shared" si="6"/>
        <v>Citroën C5 Aircross 1.6T Shine</v>
      </c>
      <c r="D227">
        <f t="shared" si="7"/>
        <v>683900</v>
      </c>
    </row>
    <row r="228" spans="2:4" ht="15" thickBot="1" x14ac:dyDescent="0.4">
      <c r="B228" s="1" t="s">
        <v>755</v>
      </c>
      <c r="C228" t="str">
        <f t="shared" si="6"/>
        <v>Kia Sportage 1.6T-GDi GT Line Plus</v>
      </c>
      <c r="D228">
        <f t="shared" si="7"/>
        <v>692995</v>
      </c>
    </row>
    <row r="229" spans="2:4" ht="15" thickBot="1" x14ac:dyDescent="0.4">
      <c r="B229" s="1" t="s">
        <v>756</v>
      </c>
      <c r="C229" t="str">
        <f t="shared" si="6"/>
        <v>Toyota RAV4 2.5 Hybrid GX-R E-Four</v>
      </c>
      <c r="D229">
        <f t="shared" si="7"/>
        <v>698700</v>
      </c>
    </row>
    <row r="230" spans="2:4" ht="15" thickBot="1" x14ac:dyDescent="0.4">
      <c r="B230" s="1" t="s">
        <v>757</v>
      </c>
      <c r="C230" t="str">
        <f t="shared" si="6"/>
        <v>Opel Grandland X 1.6T Elegance</v>
      </c>
      <c r="D230">
        <f t="shared" si="7"/>
        <v>701900</v>
      </c>
    </row>
    <row r="231" spans="2:4" ht="15" thickBot="1" x14ac:dyDescent="0.4">
      <c r="B231" s="1" t="s">
        <v>758</v>
      </c>
      <c r="C231" t="str">
        <f t="shared" si="6"/>
        <v>Subaru Forester 2.5i-S ES</v>
      </c>
      <c r="D231">
        <f t="shared" si="7"/>
        <v>708000</v>
      </c>
    </row>
    <row r="232" spans="2:4" ht="15" thickBot="1" x14ac:dyDescent="0.4">
      <c r="B232" s="1" t="s">
        <v>759</v>
      </c>
      <c r="C232" t="str">
        <f t="shared" si="6"/>
        <v>Audi Q3 35TFSI S line</v>
      </c>
      <c r="D232">
        <f t="shared" si="7"/>
        <v>708400</v>
      </c>
    </row>
    <row r="233" spans="2:4" ht="15" thickBot="1" x14ac:dyDescent="0.4">
      <c r="B233" s="1" t="s">
        <v>760</v>
      </c>
      <c r="C233" t="str">
        <f t="shared" si="6"/>
        <v>Toyota Fortuner 2.4GD-6 4x4</v>
      </c>
      <c r="D233">
        <f t="shared" si="7"/>
        <v>709750</v>
      </c>
    </row>
    <row r="234" spans="2:4" ht="15" thickBot="1" x14ac:dyDescent="0.4">
      <c r="B234" s="1" t="s">
        <v>761</v>
      </c>
      <c r="C234" t="str">
        <f t="shared" si="6"/>
        <v>Volkswagen Tiguan Allspace 1.4TSI 110kW Life</v>
      </c>
      <c r="D234">
        <f t="shared" si="7"/>
        <v>712800</v>
      </c>
    </row>
    <row r="235" spans="2:4" ht="15" thickBot="1" x14ac:dyDescent="0.4">
      <c r="B235" s="1" t="s">
        <v>762</v>
      </c>
      <c r="C235" t="str">
        <f t="shared" si="6"/>
        <v>Volvo XC40 B4 Essential</v>
      </c>
      <c r="D235">
        <f t="shared" si="7"/>
        <v>718900</v>
      </c>
    </row>
    <row r="236" spans="2:4" ht="15" thickBot="1" x14ac:dyDescent="0.4">
      <c r="B236" s="1" t="s">
        <v>763</v>
      </c>
      <c r="C236" t="str">
        <f t="shared" si="6"/>
        <v>Volkswagen Tiguan 1.4TSI 110kW R-Line</v>
      </c>
      <c r="D236">
        <f t="shared" si="7"/>
        <v>722300</v>
      </c>
    </row>
    <row r="237" spans="2:4" ht="15" thickBot="1" x14ac:dyDescent="0.4">
      <c r="B237" s="1" t="s">
        <v>764</v>
      </c>
      <c r="C237" t="str">
        <f t="shared" si="6"/>
        <v>Mitsubishi Pajero Sport 2.4DI-D</v>
      </c>
      <c r="D237">
        <f t="shared" si="7"/>
        <v>724990</v>
      </c>
    </row>
    <row r="238" spans="2:4" ht="15" thickBot="1" x14ac:dyDescent="0.4">
      <c r="B238" s="1" t="s">
        <v>765</v>
      </c>
      <c r="C238" t="str">
        <f t="shared" si="6"/>
        <v>Isuzu mu-X 3.0TD LS</v>
      </c>
      <c r="D238">
        <f t="shared" si="7"/>
        <v>725500</v>
      </c>
    </row>
    <row r="239" spans="2:4" ht="15" thickBot="1" x14ac:dyDescent="0.4">
      <c r="B239" s="1" t="s">
        <v>766</v>
      </c>
      <c r="C239" t="str">
        <f t="shared" si="6"/>
        <v>Volvo XC40 B3 Plus Dark</v>
      </c>
      <c r="D239">
        <f t="shared" si="7"/>
        <v>728400</v>
      </c>
    </row>
    <row r="240" spans="2:4" ht="15" thickBot="1" x14ac:dyDescent="0.4">
      <c r="B240" s="1" t="s">
        <v>767</v>
      </c>
      <c r="C240" t="str">
        <f t="shared" si="6"/>
        <v>Mazda CX-5 2.5 AWD Individual</v>
      </c>
      <c r="D240">
        <f t="shared" si="7"/>
        <v>729500</v>
      </c>
    </row>
    <row r="241" spans="2:4" ht="15" thickBot="1" x14ac:dyDescent="0.4">
      <c r="B241" s="1" t="s">
        <v>768</v>
      </c>
      <c r="C241" t="str">
        <f t="shared" si="6"/>
        <v>Audi Q3 Sportback 35TFSI S line</v>
      </c>
      <c r="D241">
        <f t="shared" si="7"/>
        <v>734000</v>
      </c>
    </row>
    <row r="242" spans="2:4" ht="15" thickBot="1" x14ac:dyDescent="0.4">
      <c r="B242" s="1" t="s">
        <v>769</v>
      </c>
      <c r="C242" t="str">
        <f t="shared" si="6"/>
        <v>Hyundai Tucson 2.0D Elite</v>
      </c>
      <c r="D242">
        <f t="shared" si="7"/>
        <v>734900</v>
      </c>
    </row>
    <row r="243" spans="2:4" ht="15" thickBot="1" x14ac:dyDescent="0.4">
      <c r="B243" s="1" t="s">
        <v>770</v>
      </c>
      <c r="C243" t="str">
        <f t="shared" si="6"/>
        <v>Volvo XC40 B3 Plus Bright</v>
      </c>
      <c r="D243">
        <f t="shared" si="7"/>
        <v>736700</v>
      </c>
    </row>
    <row r="244" spans="2:4" ht="15" thickBot="1" x14ac:dyDescent="0.4">
      <c r="B244" s="1" t="s">
        <v>771</v>
      </c>
      <c r="C244" t="str">
        <f t="shared" si="6"/>
        <v>Honda CR-V 1.5T Executive</v>
      </c>
      <c r="D244">
        <f t="shared" si="7"/>
        <v>737700</v>
      </c>
    </row>
    <row r="245" spans="2:4" ht="15" thickBot="1" x14ac:dyDescent="0.4">
      <c r="B245" s="1" t="s">
        <v>772</v>
      </c>
      <c r="C245" t="str">
        <f t="shared" si="6"/>
        <v>Peugeot 3008 1.6T GT</v>
      </c>
      <c r="D245">
        <f t="shared" si="7"/>
        <v>739900</v>
      </c>
    </row>
    <row r="246" spans="2:4" ht="15" thickBot="1" x14ac:dyDescent="0.4">
      <c r="B246" s="1" t="s">
        <v>773</v>
      </c>
      <c r="C246" t="str">
        <f t="shared" si="6"/>
        <v>Audi Q3 40TFSI quattro Advanced</v>
      </c>
      <c r="D246">
        <f t="shared" si="7"/>
        <v>741900</v>
      </c>
    </row>
    <row r="247" spans="2:4" ht="15" thickBot="1" x14ac:dyDescent="0.4">
      <c r="B247" s="1" t="s">
        <v>774</v>
      </c>
      <c r="C247" t="str">
        <f t="shared" si="6"/>
        <v>Mitsubishi Pajero Sport 2.4DI-D Aspire</v>
      </c>
      <c r="D247">
        <f t="shared" si="7"/>
        <v>744990</v>
      </c>
    </row>
    <row r="248" spans="2:4" ht="15" thickBot="1" x14ac:dyDescent="0.4">
      <c r="B248" s="1" t="s">
        <v>775</v>
      </c>
      <c r="C248" t="str">
        <f t="shared" si="6"/>
        <v>BMW X2 sDrive18i M Sport</v>
      </c>
      <c r="D248">
        <f t="shared" si="7"/>
        <v>747286</v>
      </c>
    </row>
    <row r="249" spans="2:4" ht="15" thickBot="1" x14ac:dyDescent="0.4">
      <c r="B249" s="1" t="s">
        <v>776</v>
      </c>
      <c r="C249" t="str">
        <f t="shared" si="6"/>
        <v>MINI Cooper S Countryman</v>
      </c>
      <c r="D249">
        <f t="shared" si="7"/>
        <v>748981</v>
      </c>
    </row>
    <row r="250" spans="2:4" ht="15" thickBot="1" x14ac:dyDescent="0.4">
      <c r="B250" s="1" t="s">
        <v>777</v>
      </c>
      <c r="C250" t="str">
        <f t="shared" si="6"/>
        <v>Kia Sportage 1.6T-GDi GT Line S</v>
      </c>
      <c r="D250">
        <f t="shared" si="7"/>
        <v>749995</v>
      </c>
    </row>
    <row r="251" spans="2:4" ht="15" thickBot="1" x14ac:dyDescent="0.4">
      <c r="B251" s="1" t="s">
        <v>778</v>
      </c>
      <c r="C251" t="str">
        <f t="shared" si="6"/>
        <v>BMW X1 sDrive18i xLine</v>
      </c>
      <c r="D251">
        <f t="shared" si="7"/>
        <v>753045</v>
      </c>
    </row>
    <row r="252" spans="2:4" ht="15" thickBot="1" x14ac:dyDescent="0.4">
      <c r="B252" s="1" t="s">
        <v>779</v>
      </c>
      <c r="C252" t="str">
        <f t="shared" si="6"/>
        <v>Audi Q3 40TFSI quattro S line</v>
      </c>
      <c r="D252">
        <f t="shared" si="7"/>
        <v>755900</v>
      </c>
    </row>
    <row r="253" spans="2:4" ht="15" thickBot="1" x14ac:dyDescent="0.4">
      <c r="B253" s="1" t="s">
        <v>780</v>
      </c>
      <c r="C253" t="str">
        <f t="shared" si="6"/>
        <v>Toyota RAV4 2.5 VX AWD</v>
      </c>
      <c r="D253">
        <f t="shared" si="7"/>
        <v>763100</v>
      </c>
    </row>
    <row r="254" spans="2:4" ht="15" thickBot="1" x14ac:dyDescent="0.4">
      <c r="B254" s="1" t="s">
        <v>781</v>
      </c>
      <c r="C254" t="str">
        <f t="shared" si="6"/>
        <v>MINI Cooper S Countryman Untamed Edition</v>
      </c>
      <c r="D254">
        <f t="shared" si="7"/>
        <v>764581</v>
      </c>
    </row>
    <row r="255" spans="2:4" ht="15" thickBot="1" x14ac:dyDescent="0.4">
      <c r="B255" s="1" t="s">
        <v>782</v>
      </c>
      <c r="C255" t="str">
        <f t="shared" si="6"/>
        <v>Mazda CX-5 2.2DE AWD Akera</v>
      </c>
      <c r="D255">
        <f t="shared" si="7"/>
        <v>765300</v>
      </c>
    </row>
    <row r="256" spans="2:4" ht="15" thickBot="1" x14ac:dyDescent="0.4">
      <c r="B256" s="1" t="s">
        <v>783</v>
      </c>
      <c r="C256" t="str">
        <f t="shared" si="6"/>
        <v>Volkswagen Tiguan Allspace 1.4TSI 110kW R-Line</v>
      </c>
      <c r="D256">
        <f t="shared" si="7"/>
        <v>767400</v>
      </c>
    </row>
    <row r="257" spans="2:4" ht="15" thickBot="1" x14ac:dyDescent="0.4">
      <c r="B257" s="1" t="s">
        <v>784</v>
      </c>
      <c r="C257" t="str">
        <f t="shared" si="6"/>
        <v>Volvo XC40 B4 Plus Dark</v>
      </c>
      <c r="D257">
        <f t="shared" si="7"/>
        <v>769700</v>
      </c>
    </row>
    <row r="258" spans="2:4" ht="15" thickBot="1" x14ac:dyDescent="0.4">
      <c r="B258" s="1" t="s">
        <v>785</v>
      </c>
      <c r="C258" t="str">
        <f t="shared" si="6"/>
        <v>Volkswagen Tiguan Allspace 2.0TSI 132kW 4Motion Style</v>
      </c>
      <c r="D258">
        <f t="shared" si="7"/>
        <v>774100</v>
      </c>
    </row>
    <row r="259" spans="2:4" ht="15" thickBot="1" x14ac:dyDescent="0.4">
      <c r="B259" s="1" t="s">
        <v>786</v>
      </c>
      <c r="C259" t="str">
        <f t="shared" ref="C259:C322" si="8">TRIM(LEFT(B259, FIND("©",SUBSTITUTE(B259,"R","©",LEN(B259)-LEN(SUBSTITUTE(B259,"R",""))))-1))</f>
        <v>Mitsubishi Pajero Sport 2.4DI-D 4x4</v>
      </c>
      <c r="D259">
        <f t="shared" ref="D259:D322" si="9">--SUBSTITUTE(TRIM(RIGHT(B259, LEN(B259) - FIND("©",SUBSTITUTE(B259,"R","©",LEN(B259)-LEN(SUBSTITUTE(B259,"R","")))))), " ", "")</f>
        <v>774990</v>
      </c>
    </row>
    <row r="260" spans="2:4" ht="15" thickBot="1" x14ac:dyDescent="0.4">
      <c r="B260" s="1" t="s">
        <v>787</v>
      </c>
      <c r="C260" t="str">
        <f t="shared" si="8"/>
        <v>Volvo XC40 B4 Plus Bright</v>
      </c>
      <c r="D260">
        <f t="shared" si="9"/>
        <v>777900</v>
      </c>
    </row>
    <row r="261" spans="2:4" ht="15" thickBot="1" x14ac:dyDescent="0.4">
      <c r="B261" s="1" t="s">
        <v>788</v>
      </c>
      <c r="C261" t="str">
        <f t="shared" si="8"/>
        <v>Hyundai Kona N</v>
      </c>
      <c r="D261">
        <f t="shared" si="9"/>
        <v>779900</v>
      </c>
    </row>
    <row r="262" spans="2:4" ht="15" thickBot="1" x14ac:dyDescent="0.4">
      <c r="B262" s="1" t="s">
        <v>789</v>
      </c>
      <c r="C262" t="str">
        <f t="shared" si="8"/>
        <v>Audi Q3 Sportback 40TFSI quattro S line</v>
      </c>
      <c r="D262">
        <f t="shared" si="9"/>
        <v>781500</v>
      </c>
    </row>
    <row r="263" spans="2:4" ht="15" thickBot="1" x14ac:dyDescent="0.4">
      <c r="B263" s="1" t="s">
        <v>790</v>
      </c>
      <c r="C263" t="str">
        <f t="shared" si="8"/>
        <v>Peugeot 5008 1.6T GT</v>
      </c>
      <c r="D263">
        <f t="shared" si="9"/>
        <v>782900</v>
      </c>
    </row>
    <row r="264" spans="2:4" ht="15" thickBot="1" x14ac:dyDescent="0.4">
      <c r="B264" s="1" t="s">
        <v>791</v>
      </c>
      <c r="C264" t="str">
        <f t="shared" si="8"/>
        <v>Toyota RAV4 2.5 Hybrid VX E-Four</v>
      </c>
      <c r="D264">
        <f t="shared" si="9"/>
        <v>785400</v>
      </c>
    </row>
    <row r="265" spans="2:4" ht="15" thickBot="1" x14ac:dyDescent="0.4">
      <c r="B265" s="1" t="s">
        <v>792</v>
      </c>
      <c r="C265" t="str">
        <f t="shared" si="8"/>
        <v>BMW X2 sDrive20i M Sport</v>
      </c>
      <c r="D265">
        <f t="shared" si="9"/>
        <v>786527</v>
      </c>
    </row>
    <row r="266" spans="2:4" ht="15" thickBot="1" x14ac:dyDescent="0.4">
      <c r="B266" s="1" t="s">
        <v>793</v>
      </c>
      <c r="C266" t="str">
        <f t="shared" si="8"/>
        <v>BMW X1 sDrive18d xLine</v>
      </c>
      <c r="D266">
        <f t="shared" si="9"/>
        <v>790617</v>
      </c>
    </row>
    <row r="267" spans="2:4" ht="15" thickBot="1" x14ac:dyDescent="0.4">
      <c r="B267" s="1" t="s">
        <v>794</v>
      </c>
      <c r="C267" t="str">
        <f t="shared" si="8"/>
        <v>BMW X1 sDrive18i M Sport</v>
      </c>
      <c r="D267">
        <f t="shared" si="9"/>
        <v>793045</v>
      </c>
    </row>
    <row r="268" spans="2:4" ht="15" thickBot="1" x14ac:dyDescent="0.4">
      <c r="B268" s="1" t="s">
        <v>795</v>
      </c>
      <c r="C268" t="str">
        <f t="shared" si="8"/>
        <v>Toyota Fortuner 2.8GD-6</v>
      </c>
      <c r="D268">
        <f t="shared" si="9"/>
        <v>794600</v>
      </c>
    </row>
    <row r="269" spans="2:4" ht="15" thickBot="1" x14ac:dyDescent="0.4">
      <c r="B269" s="1" t="s">
        <v>796</v>
      </c>
      <c r="C269" t="str">
        <f t="shared" si="8"/>
        <v>Volkswagen Tiguan 2.0TDI 130kW 4Motion R-Line</v>
      </c>
      <c r="D269">
        <f t="shared" si="9"/>
        <v>794800</v>
      </c>
    </row>
    <row r="270" spans="2:4" ht="15" thickBot="1" x14ac:dyDescent="0.4">
      <c r="B270" s="1" t="s">
        <v>797</v>
      </c>
      <c r="C270" t="str">
        <f t="shared" si="8"/>
        <v>Mitsubishi Pajero Sport 2.4DI-D 4x4 Aspire</v>
      </c>
      <c r="D270">
        <f t="shared" si="9"/>
        <v>794990</v>
      </c>
    </row>
    <row r="271" spans="2:4" ht="15" thickBot="1" x14ac:dyDescent="0.4">
      <c r="B271" s="1" t="s">
        <v>798</v>
      </c>
      <c r="C271" t="str">
        <f t="shared" si="8"/>
        <v>Isuzu mu-X 3.0TD LSE</v>
      </c>
      <c r="D271">
        <f t="shared" si="9"/>
        <v>795000</v>
      </c>
    </row>
    <row r="272" spans="2:4" ht="15" thickBot="1" x14ac:dyDescent="0.4">
      <c r="B272" s="1" t="s">
        <v>799</v>
      </c>
      <c r="C272" t="str">
        <f t="shared" si="8"/>
        <v>Volkswagen Tiguan 2.0TSI 162kW 4Motion R-Line</v>
      </c>
      <c r="D272">
        <f t="shared" si="9"/>
        <v>795900</v>
      </c>
    </row>
    <row r="273" spans="2:4" ht="15" thickBot="1" x14ac:dyDescent="0.4">
      <c r="B273" s="1" t="s">
        <v>800</v>
      </c>
      <c r="C273" t="str">
        <f t="shared" si="8"/>
        <v>Alfa Romeo Tonale 1.5T Hybrid Speciale</v>
      </c>
      <c r="D273">
        <f t="shared" si="9"/>
        <v>799900</v>
      </c>
    </row>
    <row r="274" spans="2:4" ht="15" thickBot="1" x14ac:dyDescent="0.4">
      <c r="B274" s="1" t="s">
        <v>801</v>
      </c>
      <c r="C274" t="str">
        <f t="shared" si="8"/>
        <v>Isuzu mu-X 3.0TD LS 4x4</v>
      </c>
      <c r="D274">
        <f t="shared" si="9"/>
        <v>806400</v>
      </c>
    </row>
    <row r="275" spans="2:4" ht="15" thickBot="1" x14ac:dyDescent="0.4">
      <c r="B275" s="1" t="s">
        <v>802</v>
      </c>
      <c r="C275" t="str">
        <f t="shared" si="8"/>
        <v>Lexus UX 250h EX</v>
      </c>
      <c r="D275">
        <f t="shared" si="9"/>
        <v>808600</v>
      </c>
    </row>
    <row r="276" spans="2:4" ht="15" thickBot="1" x14ac:dyDescent="0.4">
      <c r="B276" s="1" t="s">
        <v>803</v>
      </c>
      <c r="C276" t="str">
        <f t="shared" si="8"/>
        <v>Mitsubishi Pajero Sport 2.4DI-D 4x4 Exceed</v>
      </c>
      <c r="D276">
        <f t="shared" si="9"/>
        <v>809990</v>
      </c>
    </row>
    <row r="277" spans="2:4" ht="15" thickBot="1" x14ac:dyDescent="0.4">
      <c r="B277" s="1" t="s">
        <v>804</v>
      </c>
      <c r="C277" t="str">
        <f t="shared" si="8"/>
        <v>Toyota FJ Cruiser</v>
      </c>
      <c r="D277">
        <f t="shared" si="9"/>
        <v>813000</v>
      </c>
    </row>
    <row r="278" spans="2:4" ht="15" thickBot="1" x14ac:dyDescent="0.4">
      <c r="B278" s="1" t="s">
        <v>805</v>
      </c>
      <c r="C278" t="str">
        <f t="shared" si="8"/>
        <v>Toyota Land Cruiser 78 4.2D Wagon</v>
      </c>
      <c r="D278">
        <f t="shared" si="9"/>
        <v>818300</v>
      </c>
    </row>
    <row r="279" spans="2:4" ht="15" thickBot="1" x14ac:dyDescent="0.4">
      <c r="B279" s="1" t="s">
        <v>806</v>
      </c>
      <c r="C279" t="str">
        <f t="shared" si="8"/>
        <v>Honda CR-V 1.5T Exclusive AWD</v>
      </c>
      <c r="D279">
        <f t="shared" si="9"/>
        <v>818700</v>
      </c>
    </row>
    <row r="280" spans="2:4" ht="15" thickBot="1" x14ac:dyDescent="0.4">
      <c r="B280" s="1" t="s">
        <v>807</v>
      </c>
      <c r="C280" t="str">
        <f t="shared" si="8"/>
        <v>Alfa Romeo Tonale 1.5T Hybrid Veloce</v>
      </c>
      <c r="D280">
        <f t="shared" si="9"/>
        <v>819900</v>
      </c>
    </row>
    <row r="281" spans="2:4" ht="15" thickBot="1" x14ac:dyDescent="0.4">
      <c r="B281" s="1" t="s">
        <v>808</v>
      </c>
      <c r="C281" t="str">
        <f t="shared" si="8"/>
        <v>BMW X1 sDrive18d M Sport</v>
      </c>
      <c r="D281">
        <f t="shared" si="9"/>
        <v>830617</v>
      </c>
    </row>
    <row r="282" spans="2:4" ht="15" thickBot="1" x14ac:dyDescent="0.4">
      <c r="B282" s="1" t="s">
        <v>809</v>
      </c>
      <c r="C282" t="str">
        <f t="shared" si="8"/>
        <v>Kia Sorento 2.2CRDi EX+</v>
      </c>
      <c r="D282">
        <f t="shared" si="9"/>
        <v>834995</v>
      </c>
    </row>
    <row r="283" spans="2:4" ht="15" thickBot="1" x14ac:dyDescent="0.4">
      <c r="B283" s="1" t="s">
        <v>810</v>
      </c>
      <c r="C283" t="str">
        <f t="shared" si="8"/>
        <v>Toyota Fortuner 2.8GD-6 VX</v>
      </c>
      <c r="D283">
        <f t="shared" si="9"/>
        <v>837800</v>
      </c>
    </row>
    <row r="284" spans="2:4" ht="15" thickBot="1" x14ac:dyDescent="0.4">
      <c r="B284" s="1" t="s">
        <v>811</v>
      </c>
      <c r="C284" t="str">
        <f t="shared" si="8"/>
        <v>Volkswagen Tiguan Allspace 2.0TSI 162kW 4Motion R-Line</v>
      </c>
      <c r="D284">
        <f t="shared" si="9"/>
        <v>838300</v>
      </c>
    </row>
    <row r="285" spans="2:4" ht="15" thickBot="1" x14ac:dyDescent="0.4">
      <c r="B285" s="1" t="s">
        <v>812</v>
      </c>
      <c r="C285" t="str">
        <f t="shared" si="8"/>
        <v>Volvo XC40 B5 AWD Plus Dark</v>
      </c>
      <c r="D285">
        <f t="shared" si="9"/>
        <v>840000</v>
      </c>
    </row>
    <row r="286" spans="2:4" ht="15" thickBot="1" x14ac:dyDescent="0.4">
      <c r="B286" s="1" t="s">
        <v>813</v>
      </c>
      <c r="C286" t="str">
        <f t="shared" si="8"/>
        <v>Mercedes-Benz GLA200 Progressive</v>
      </c>
      <c r="D286">
        <f t="shared" si="9"/>
        <v>847226</v>
      </c>
    </row>
    <row r="287" spans="2:4" ht="15" thickBot="1" x14ac:dyDescent="0.4">
      <c r="B287" s="1" t="s">
        <v>814</v>
      </c>
      <c r="C287" t="str">
        <f t="shared" si="8"/>
        <v>Volvo XC40 B5 AWD Plus Bright</v>
      </c>
      <c r="D287">
        <f t="shared" si="9"/>
        <v>847400</v>
      </c>
    </row>
    <row r="288" spans="2:4" ht="15" thickBot="1" x14ac:dyDescent="0.4">
      <c r="B288" s="1" t="s">
        <v>815</v>
      </c>
      <c r="C288" t="str">
        <f t="shared" si="8"/>
        <v>Hyundai Santa Fe 2.2D Executive</v>
      </c>
      <c r="D288">
        <f t="shared" si="9"/>
        <v>856900</v>
      </c>
    </row>
    <row r="289" spans="2:4" ht="15" thickBot="1" x14ac:dyDescent="0.4">
      <c r="B289" s="1" t="s">
        <v>816</v>
      </c>
      <c r="C289" t="str">
        <f t="shared" si="8"/>
        <v>Toyota Fortuner 2.8GD-6 4x4</v>
      </c>
      <c r="D289">
        <f t="shared" si="9"/>
        <v>873500</v>
      </c>
    </row>
    <row r="290" spans="2:4" ht="15" thickBot="1" x14ac:dyDescent="0.4">
      <c r="B290" s="1" t="s">
        <v>817</v>
      </c>
      <c r="C290" t="str">
        <f t="shared" si="8"/>
        <v>Kia Sorento 2.2CRDi AWD EX+</v>
      </c>
      <c r="D290">
        <f t="shared" si="9"/>
        <v>874995</v>
      </c>
    </row>
    <row r="291" spans="2:4" ht="15" thickBot="1" x14ac:dyDescent="0.4">
      <c r="B291" s="1" t="s">
        <v>818</v>
      </c>
      <c r="C291" t="str">
        <f t="shared" si="8"/>
        <v>Mercedes-Benz GLA200 AMG Line</v>
      </c>
      <c r="D291">
        <f t="shared" si="9"/>
        <v>876226</v>
      </c>
    </row>
    <row r="292" spans="2:4" ht="15" thickBot="1" x14ac:dyDescent="0.4">
      <c r="B292" s="1" t="s">
        <v>819</v>
      </c>
      <c r="C292" t="str">
        <f t="shared" si="8"/>
        <v>Mercedes-Benz GLA200d Progressive</v>
      </c>
      <c r="D292">
        <f t="shared" si="9"/>
        <v>883568</v>
      </c>
    </row>
    <row r="293" spans="2:4" ht="15" thickBot="1" x14ac:dyDescent="0.4">
      <c r="B293" s="1" t="s">
        <v>820</v>
      </c>
      <c r="C293" t="str">
        <f t="shared" si="8"/>
        <v>Lexus UX 250h SE</v>
      </c>
      <c r="D293">
        <f t="shared" si="9"/>
        <v>891800</v>
      </c>
    </row>
    <row r="294" spans="2:4" ht="15" thickBot="1" x14ac:dyDescent="0.4">
      <c r="B294" s="1" t="s">
        <v>821</v>
      </c>
      <c r="C294" t="str">
        <f t="shared" si="8"/>
        <v>Isuzu mu-X 3.0TD Onyx 4x4</v>
      </c>
      <c r="D294">
        <f t="shared" si="9"/>
        <v>895900</v>
      </c>
    </row>
    <row r="295" spans="2:4" ht="15" thickBot="1" x14ac:dyDescent="0.4">
      <c r="B295" s="1" t="s">
        <v>822</v>
      </c>
      <c r="C295" t="str">
        <f t="shared" si="8"/>
        <v>Lexus NX 250 AWD EX</v>
      </c>
      <c r="D295">
        <f t="shared" si="9"/>
        <v>912400</v>
      </c>
    </row>
    <row r="296" spans="2:4" ht="15" thickBot="1" x14ac:dyDescent="0.4">
      <c r="B296" s="1" t="s">
        <v>823</v>
      </c>
      <c r="C296" t="str">
        <f t="shared" si="8"/>
        <v>Mercedes-Benz GLA200d AMG Line</v>
      </c>
      <c r="D296">
        <f t="shared" si="9"/>
        <v>912568</v>
      </c>
    </row>
    <row r="297" spans="2:4" ht="15" thickBot="1" x14ac:dyDescent="0.4">
      <c r="B297" s="1" t="s">
        <v>824</v>
      </c>
      <c r="C297" t="str">
        <f t="shared" si="8"/>
        <v>Toyota Fortuner 2.8GD-6 4x4 VX</v>
      </c>
      <c r="D297">
        <f t="shared" si="9"/>
        <v>915400</v>
      </c>
    </row>
    <row r="298" spans="2:4" ht="15" thickBot="1" x14ac:dyDescent="0.4">
      <c r="B298" s="1" t="s">
        <v>825</v>
      </c>
      <c r="C298" t="str">
        <f t="shared" si="8"/>
        <v>Kia Sorento 2.2CRDi AWD SX</v>
      </c>
      <c r="D298">
        <f t="shared" si="9"/>
        <v>939995</v>
      </c>
    </row>
    <row r="299" spans="2:4" ht="15" thickBot="1" x14ac:dyDescent="0.4">
      <c r="B299" s="1" t="s">
        <v>826</v>
      </c>
      <c r="C299" t="str">
        <f t="shared" si="8"/>
        <v>Lexus NX 350h AWD EX</v>
      </c>
      <c r="D299">
        <f t="shared" si="9"/>
        <v>942700</v>
      </c>
    </row>
    <row r="300" spans="2:4" ht="15" thickBot="1" x14ac:dyDescent="0.4">
      <c r="B300" s="1" t="s">
        <v>827</v>
      </c>
      <c r="C300" t="str">
        <f t="shared" si="8"/>
        <v>Audi Q5 40TDI quattro</v>
      </c>
      <c r="D300">
        <f t="shared" si="9"/>
        <v>944700</v>
      </c>
    </row>
    <row r="301" spans="2:4" ht="15" thickBot="1" x14ac:dyDescent="0.4">
      <c r="B301" s="1" t="s">
        <v>828</v>
      </c>
      <c r="C301" t="str">
        <f t="shared" si="8"/>
        <v>Lexus UX 250h F Sport</v>
      </c>
      <c r="D301">
        <f t="shared" si="9"/>
        <v>947500</v>
      </c>
    </row>
    <row r="302" spans="2:4" ht="15" thickBot="1" x14ac:dyDescent="0.4">
      <c r="B302" s="1" t="s">
        <v>829</v>
      </c>
      <c r="C302" t="str">
        <f t="shared" si="8"/>
        <v>MINI John Cooper Works ALL4 Countryman</v>
      </c>
      <c r="D302">
        <f t="shared" si="9"/>
        <v>953739</v>
      </c>
    </row>
    <row r="303" spans="2:4" ht="15" thickBot="1" x14ac:dyDescent="0.4">
      <c r="B303" s="1" t="s">
        <v>830</v>
      </c>
      <c r="C303" t="str">
        <f t="shared" si="8"/>
        <v>BMW X3 sDrive18d</v>
      </c>
      <c r="D303">
        <f t="shared" si="9"/>
        <v>957224</v>
      </c>
    </row>
    <row r="304" spans="2:4" ht="15" thickBot="1" x14ac:dyDescent="0.4">
      <c r="B304" s="1" t="s">
        <v>831</v>
      </c>
      <c r="C304" t="str">
        <f t="shared" si="8"/>
        <v>Volvo XC60 B5 AWD Essential</v>
      </c>
      <c r="D304">
        <f t="shared" si="9"/>
        <v>957900</v>
      </c>
    </row>
    <row r="305" spans="2:4" ht="15" thickBot="1" x14ac:dyDescent="0.4">
      <c r="B305" s="1" t="s">
        <v>832</v>
      </c>
      <c r="C305" t="str">
        <f t="shared" si="8"/>
        <v>BMW X2 M35i</v>
      </c>
      <c r="D305">
        <f t="shared" si="9"/>
        <v>961081</v>
      </c>
    </row>
    <row r="306" spans="2:4" ht="15" thickBot="1" x14ac:dyDescent="0.4">
      <c r="B306" s="1" t="s">
        <v>833</v>
      </c>
      <c r="C306" t="str">
        <f t="shared" si="8"/>
        <v>Toyota Land Cruiser 76 4.5D-4D LX V8 Station Wagon</v>
      </c>
      <c r="D306">
        <f t="shared" si="9"/>
        <v>963400</v>
      </c>
    </row>
    <row r="307" spans="2:4" ht="15" thickBot="1" x14ac:dyDescent="0.4">
      <c r="B307" s="1" t="s">
        <v>834</v>
      </c>
      <c r="C307" t="str">
        <f t="shared" si="8"/>
        <v>Hyundai Santa Fe 2.2D 4WD Elite</v>
      </c>
      <c r="D307">
        <f t="shared" si="9"/>
        <v>964900</v>
      </c>
    </row>
    <row r="308" spans="2:4" ht="15" thickBot="1" x14ac:dyDescent="0.4">
      <c r="B308" s="1" t="s">
        <v>835</v>
      </c>
      <c r="C308" t="str">
        <f t="shared" si="8"/>
        <v>Ford Everest 2.0 BiTurbo 4x4 Sport</v>
      </c>
      <c r="D308">
        <f t="shared" si="9"/>
        <v>965400</v>
      </c>
    </row>
    <row r="309" spans="2:4" ht="15" thickBot="1" x14ac:dyDescent="0.4">
      <c r="B309" s="1" t="s">
        <v>836</v>
      </c>
      <c r="C309" t="str">
        <f t="shared" si="8"/>
        <v>Audi Q5 40TDI quattro S line</v>
      </c>
      <c r="D309">
        <f t="shared" si="9"/>
        <v>989700</v>
      </c>
    </row>
    <row r="310" spans="2:4" ht="15" thickBot="1" x14ac:dyDescent="0.4">
      <c r="B310" s="1" t="s">
        <v>837</v>
      </c>
      <c r="C310" t="str">
        <f t="shared" si="8"/>
        <v>BMW X3 sDrive18d M Sport</v>
      </c>
      <c r="D310">
        <f t="shared" si="9"/>
        <v>997224</v>
      </c>
    </row>
    <row r="311" spans="2:4" ht="15" thickBot="1" x14ac:dyDescent="0.4">
      <c r="B311" s="1" t="s">
        <v>838</v>
      </c>
      <c r="C311" t="str">
        <f t="shared" si="8"/>
        <v>Mercedes-Benz GLB220d 4Matic Progressive</v>
      </c>
      <c r="D311">
        <f t="shared" si="9"/>
        <v>998388</v>
      </c>
    </row>
    <row r="312" spans="2:4" ht="15" thickBot="1" x14ac:dyDescent="0.4">
      <c r="B312" s="1" t="s">
        <v>839</v>
      </c>
      <c r="C312" t="str">
        <f t="shared" si="8"/>
        <v>Volvo XC60 B5 AWD Plus Dark</v>
      </c>
      <c r="D312">
        <f t="shared" si="9"/>
        <v>999700</v>
      </c>
    </row>
    <row r="313" spans="2:4" ht="15" thickBot="1" x14ac:dyDescent="0.4">
      <c r="B313" s="1" t="s">
        <v>840</v>
      </c>
      <c r="C313" t="str">
        <f t="shared" si="8"/>
        <v>Jeep Wrangler Unlimited 3.6 Sport</v>
      </c>
      <c r="D313">
        <f t="shared" si="9"/>
        <v>999900</v>
      </c>
    </row>
    <row r="314" spans="2:4" ht="15" thickBot="1" x14ac:dyDescent="0.4">
      <c r="B314" s="1" t="s">
        <v>841</v>
      </c>
      <c r="C314" t="str">
        <f t="shared" si="8"/>
        <v>Mercedes-Benz GLB250 Progressive</v>
      </c>
      <c r="D314">
        <f t="shared" si="9"/>
        <v>1012287</v>
      </c>
    </row>
    <row r="315" spans="2:4" ht="15" thickBot="1" x14ac:dyDescent="0.4">
      <c r="B315" s="1" t="s">
        <v>842</v>
      </c>
      <c r="C315" t="str">
        <f t="shared" si="8"/>
        <v>Volkswagen Tiguan R</v>
      </c>
      <c r="D315">
        <f t="shared" si="9"/>
        <v>1014900</v>
      </c>
    </row>
    <row r="316" spans="2:4" ht="15" thickBot="1" x14ac:dyDescent="0.4">
      <c r="B316" s="1" t="s">
        <v>843</v>
      </c>
      <c r="C316" t="str">
        <f t="shared" si="8"/>
        <v>BMW X3 sDrive20i</v>
      </c>
      <c r="D316">
        <f t="shared" si="9"/>
        <v>1015778</v>
      </c>
    </row>
    <row r="317" spans="2:4" ht="15" thickBot="1" x14ac:dyDescent="0.4">
      <c r="B317" s="1" t="s">
        <v>844</v>
      </c>
      <c r="C317" t="str">
        <f t="shared" si="8"/>
        <v>Kia Sorento 2.2CRDi AWD SXL</v>
      </c>
      <c r="D317">
        <f t="shared" si="9"/>
        <v>1019995</v>
      </c>
    </row>
    <row r="318" spans="2:4" ht="15" thickBot="1" x14ac:dyDescent="0.4">
      <c r="B318" s="1" t="s">
        <v>845</v>
      </c>
      <c r="C318" t="str">
        <f t="shared" si="8"/>
        <v>Volvo XC60 B5 AWD Plus Bright</v>
      </c>
      <c r="D318">
        <f t="shared" si="9"/>
        <v>1025700</v>
      </c>
    </row>
    <row r="319" spans="2:4" ht="15" thickBot="1" x14ac:dyDescent="0.4">
      <c r="B319" s="1" t="s">
        <v>846</v>
      </c>
      <c r="C319" t="str">
        <f t="shared" si="8"/>
        <v>Mercedes-Benz GLB220d 4Matic AMG Line</v>
      </c>
      <c r="D319">
        <f t="shared" si="9"/>
        <v>1036388</v>
      </c>
    </row>
    <row r="320" spans="2:4" ht="15" thickBot="1" x14ac:dyDescent="0.4">
      <c r="B320" s="1" t="s">
        <v>847</v>
      </c>
      <c r="C320" t="str">
        <f t="shared" si="8"/>
        <v>Audi Q5 Sportback 40TDI quattro Advanced</v>
      </c>
      <c r="D320">
        <f t="shared" si="9"/>
        <v>1038700</v>
      </c>
    </row>
    <row r="321" spans="2:4" ht="15" thickBot="1" x14ac:dyDescent="0.4">
      <c r="B321" s="1" t="s">
        <v>848</v>
      </c>
      <c r="C321" t="str">
        <f t="shared" si="8"/>
        <v>Audi Q5 45TFSI quattro S line</v>
      </c>
      <c r="D321">
        <f t="shared" si="9"/>
        <v>1048500</v>
      </c>
    </row>
    <row r="322" spans="2:4" ht="15" thickBot="1" x14ac:dyDescent="0.4">
      <c r="B322" s="1" t="s">
        <v>849</v>
      </c>
      <c r="C322" t="str">
        <f t="shared" si="8"/>
        <v>Jeep Wrangler 3.6 Rubicon</v>
      </c>
      <c r="D322">
        <f t="shared" si="9"/>
        <v>1049900</v>
      </c>
    </row>
    <row r="323" spans="2:4" ht="15" thickBot="1" x14ac:dyDescent="0.4">
      <c r="B323" s="1" t="s">
        <v>850</v>
      </c>
      <c r="C323" t="str">
        <f t="shared" ref="C323:C386" si="10">TRIM(LEFT(B323, FIND("©",SUBSTITUTE(B323,"R","©",LEN(B323)-LEN(SUBSTITUTE(B323,"R",""))))-1))</f>
        <v>Mercedes-Benz GLB250 AMG Line</v>
      </c>
      <c r="D323">
        <f t="shared" ref="D323:D386" si="11">--SUBSTITUTE(TRIM(RIGHT(B323, LEN(B323) - FIND("©",SUBSTITUTE(B323,"R","©",LEN(B323)-LEN(SUBSTITUTE(B323,"R","")))))), " ", "")</f>
        <v>1050287</v>
      </c>
    </row>
    <row r="324" spans="2:4" ht="15" thickBot="1" x14ac:dyDescent="0.4">
      <c r="B324" s="1" t="s">
        <v>851</v>
      </c>
      <c r="C324" t="str">
        <f t="shared" si="10"/>
        <v>BMW X3 sDrive20i M Sport</v>
      </c>
      <c r="D324">
        <f t="shared" si="11"/>
        <v>1055778</v>
      </c>
    </row>
    <row r="325" spans="2:4" ht="15" thickBot="1" x14ac:dyDescent="0.4">
      <c r="B325" s="1" t="s">
        <v>852</v>
      </c>
      <c r="C325" t="str">
        <f t="shared" si="10"/>
        <v>Volvo XC60 B6 AWD Plus Dark</v>
      </c>
      <c r="D325">
        <f t="shared" si="11"/>
        <v>1063800</v>
      </c>
    </row>
    <row r="326" spans="2:4" ht="15" thickBot="1" x14ac:dyDescent="0.4">
      <c r="B326" s="1" t="s">
        <v>853</v>
      </c>
      <c r="C326" t="str">
        <f t="shared" si="10"/>
        <v>BMW X3 xDrive20d</v>
      </c>
      <c r="D326">
        <f t="shared" si="11"/>
        <v>1065394</v>
      </c>
    </row>
    <row r="327" spans="2:4" ht="15" thickBot="1" x14ac:dyDescent="0.4">
      <c r="B327" s="1" t="s">
        <v>854</v>
      </c>
      <c r="C327" t="str">
        <f t="shared" si="10"/>
        <v>Hyundai Palisade 2.2D 4WD Elite</v>
      </c>
      <c r="D327">
        <f t="shared" si="11"/>
        <v>1066900</v>
      </c>
    </row>
    <row r="328" spans="2:4" ht="15" thickBot="1" x14ac:dyDescent="0.4">
      <c r="B328" s="1" t="s">
        <v>855</v>
      </c>
      <c r="C328" t="str">
        <f t="shared" si="10"/>
        <v>Volvo XC40 P6 Recharge Plus</v>
      </c>
      <c r="D328">
        <f t="shared" si="11"/>
        <v>1075000</v>
      </c>
    </row>
    <row r="329" spans="2:4" ht="15" thickBot="1" x14ac:dyDescent="0.4">
      <c r="B329" s="1" t="s">
        <v>856</v>
      </c>
      <c r="C329" t="str">
        <f t="shared" si="10"/>
        <v>Audi Q5 Sportback 40TDI quattro S line</v>
      </c>
      <c r="D329">
        <f t="shared" si="11"/>
        <v>1077700</v>
      </c>
    </row>
    <row r="330" spans="2:4" ht="15" thickBot="1" x14ac:dyDescent="0.4">
      <c r="B330" s="1" t="s">
        <v>857</v>
      </c>
      <c r="C330" t="str">
        <f t="shared" si="10"/>
        <v>Toyota Land Cruiser Prado 2.8GD TX</v>
      </c>
      <c r="D330">
        <f t="shared" si="11"/>
        <v>1079700</v>
      </c>
    </row>
    <row r="331" spans="2:4" ht="15" thickBot="1" x14ac:dyDescent="0.4">
      <c r="B331" s="1" t="s">
        <v>858</v>
      </c>
      <c r="C331" t="str">
        <f t="shared" si="10"/>
        <v>Jaguar E-Pace D200 AWD R-Dynamic SE</v>
      </c>
      <c r="D331">
        <f t="shared" si="11"/>
        <v>1087000</v>
      </c>
    </row>
    <row r="332" spans="2:4" ht="15" thickBot="1" x14ac:dyDescent="0.4">
      <c r="B332" s="1" t="s">
        <v>859</v>
      </c>
      <c r="C332" t="str">
        <f t="shared" si="10"/>
        <v>Volvo XC60 B6 AWD Plus Bright</v>
      </c>
      <c r="D332">
        <f t="shared" si="11"/>
        <v>1089800</v>
      </c>
    </row>
    <row r="333" spans="2:4" ht="15" thickBot="1" x14ac:dyDescent="0.4">
      <c r="B333" s="1" t="s">
        <v>860</v>
      </c>
      <c r="C333" t="str">
        <f t="shared" si="10"/>
        <v>Jeep Wrangler Unlimited 3.6 Rubicon</v>
      </c>
      <c r="D333">
        <f t="shared" si="11"/>
        <v>1099900</v>
      </c>
    </row>
    <row r="334" spans="2:4" ht="15" thickBot="1" x14ac:dyDescent="0.4">
      <c r="B334" s="1" t="s">
        <v>861</v>
      </c>
      <c r="C334" t="str">
        <f t="shared" si="10"/>
        <v>Lexus NX 350h AWD SE</v>
      </c>
      <c r="D334">
        <f t="shared" si="11"/>
        <v>1104100</v>
      </c>
    </row>
    <row r="335" spans="2:4" ht="15" thickBot="1" x14ac:dyDescent="0.4">
      <c r="B335" s="1" t="s">
        <v>862</v>
      </c>
      <c r="C335" t="str">
        <f t="shared" si="10"/>
        <v>BMW X3 xDrive20d M Sport</v>
      </c>
      <c r="D335">
        <f t="shared" si="11"/>
        <v>1105394</v>
      </c>
    </row>
    <row r="336" spans="2:4" ht="15" thickBot="1" x14ac:dyDescent="0.4">
      <c r="B336" s="1" t="s">
        <v>863</v>
      </c>
      <c r="C336" t="str">
        <f t="shared" si="10"/>
        <v>Land Rover Discovery Sport D200 Urban Edition</v>
      </c>
      <c r="D336">
        <f t="shared" si="11"/>
        <v>1108500</v>
      </c>
    </row>
    <row r="337" spans="2:4" ht="15" thickBot="1" x14ac:dyDescent="0.4">
      <c r="B337" s="1" t="s">
        <v>864</v>
      </c>
      <c r="C337" t="str">
        <f t="shared" si="10"/>
        <v>Porsche Macan</v>
      </c>
      <c r="D337">
        <f t="shared" si="11"/>
        <v>1112000</v>
      </c>
    </row>
    <row r="338" spans="2:4" ht="15" thickBot="1" x14ac:dyDescent="0.4">
      <c r="B338" s="1" t="s">
        <v>865</v>
      </c>
      <c r="C338" t="str">
        <f t="shared" si="10"/>
        <v>Ford Everest 3.0 V6 4WD Platinum</v>
      </c>
      <c r="D338">
        <f t="shared" si="11"/>
        <v>1113100</v>
      </c>
    </row>
    <row r="339" spans="2:4" ht="15" thickBot="1" x14ac:dyDescent="0.4">
      <c r="B339" s="1" t="s">
        <v>866</v>
      </c>
      <c r="C339" t="str">
        <f t="shared" si="10"/>
        <v>Land Rover Discovery Sport P250 Urban Edition</v>
      </c>
      <c r="D339">
        <f t="shared" si="11"/>
        <v>1113600</v>
      </c>
    </row>
    <row r="340" spans="2:4" ht="15" thickBot="1" x14ac:dyDescent="0.4">
      <c r="B340" s="1" t="s">
        <v>867</v>
      </c>
      <c r="C340" t="str">
        <f t="shared" si="10"/>
        <v>Mercedes-Benz GLC220d 4Matic</v>
      </c>
      <c r="D340">
        <f t="shared" si="11"/>
        <v>1124312</v>
      </c>
    </row>
    <row r="341" spans="2:4" ht="15" thickBot="1" x14ac:dyDescent="0.4">
      <c r="B341" s="1" t="s">
        <v>868</v>
      </c>
      <c r="C341" t="str">
        <f t="shared" si="10"/>
        <v>Land Rover Discovery Sport D200 R-Dynamic SE</v>
      </c>
      <c r="D341">
        <f t="shared" si="11"/>
        <v>1125100</v>
      </c>
    </row>
    <row r="342" spans="2:4" ht="15" thickBot="1" x14ac:dyDescent="0.4">
      <c r="B342" s="1" t="s">
        <v>869</v>
      </c>
      <c r="C342" t="str">
        <f t="shared" si="10"/>
        <v>Land Rover Range Rover Evoque D200 Bronze Collection</v>
      </c>
      <c r="D342">
        <f t="shared" si="11"/>
        <v>1126400</v>
      </c>
    </row>
    <row r="343" spans="2:4" ht="15" thickBot="1" x14ac:dyDescent="0.4">
      <c r="B343" s="1" t="s">
        <v>870</v>
      </c>
      <c r="C343" t="str">
        <f t="shared" si="10"/>
        <v>Land Rover Discovery Sport P250 R-Dynamic SE</v>
      </c>
      <c r="D343">
        <f t="shared" si="11"/>
        <v>1130200</v>
      </c>
    </row>
    <row r="344" spans="2:4" ht="15" thickBot="1" x14ac:dyDescent="0.4">
      <c r="B344" s="1" t="s">
        <v>871</v>
      </c>
      <c r="C344" t="str">
        <f t="shared" si="10"/>
        <v>Lexus NX 350h AWD F Sport</v>
      </c>
      <c r="D344">
        <f t="shared" si="11"/>
        <v>1130400</v>
      </c>
    </row>
    <row r="345" spans="2:4" ht="15" thickBot="1" x14ac:dyDescent="0.4">
      <c r="B345" s="1" t="s">
        <v>872</v>
      </c>
      <c r="C345" t="str">
        <f t="shared" si="10"/>
        <v>Land Rover Range Rover Evoque P250 Bronze Collection</v>
      </c>
      <c r="D345">
        <f t="shared" si="11"/>
        <v>1131800</v>
      </c>
    </row>
    <row r="346" spans="2:4" ht="15" thickBot="1" x14ac:dyDescent="0.4">
      <c r="B346" s="1" t="s">
        <v>873</v>
      </c>
      <c r="C346" t="str">
        <f t="shared" si="10"/>
        <v>Audi Q5 Sportback 45TFSI quattro S line</v>
      </c>
      <c r="D346">
        <f t="shared" si="11"/>
        <v>1136500</v>
      </c>
    </row>
    <row r="347" spans="2:4" ht="15" thickBot="1" x14ac:dyDescent="0.4">
      <c r="B347" s="1" t="s">
        <v>874</v>
      </c>
      <c r="C347" t="str">
        <f t="shared" si="10"/>
        <v>Lexus NX 350 AWD F Sport</v>
      </c>
      <c r="D347">
        <f t="shared" si="11"/>
        <v>1140900</v>
      </c>
    </row>
    <row r="348" spans="2:4" ht="15" thickBot="1" x14ac:dyDescent="0.4">
      <c r="B348" s="1" t="s">
        <v>875</v>
      </c>
      <c r="C348" t="str">
        <f t="shared" si="10"/>
        <v>Land Rover Range Rover Evoque D200 R-Dynamic SE</v>
      </c>
      <c r="D348">
        <f t="shared" si="11"/>
        <v>1143200</v>
      </c>
    </row>
    <row r="349" spans="2:4" ht="15" thickBot="1" x14ac:dyDescent="0.4">
      <c r="B349" s="1" t="s">
        <v>876</v>
      </c>
      <c r="C349" t="str">
        <f t="shared" si="10"/>
        <v>Land Rover Range Rover Evoque P250 R-Dynamic SE</v>
      </c>
      <c r="D349">
        <f t="shared" si="11"/>
        <v>1148600</v>
      </c>
    </row>
    <row r="350" spans="2:4" ht="15" thickBot="1" x14ac:dyDescent="0.4">
      <c r="B350" s="1" t="s">
        <v>877</v>
      </c>
      <c r="C350" t="str">
        <f t="shared" si="10"/>
        <v>BMW X4 xDrive20d</v>
      </c>
      <c r="D350">
        <f t="shared" si="11"/>
        <v>1152894</v>
      </c>
    </row>
    <row r="351" spans="2:4" ht="15" thickBot="1" x14ac:dyDescent="0.4">
      <c r="B351" s="1" t="s">
        <v>878</v>
      </c>
      <c r="C351" t="str">
        <f t="shared" si="10"/>
        <v>Land Rover Discovery Sport D200 R-Dynamic HSE</v>
      </c>
      <c r="D351">
        <f t="shared" si="11"/>
        <v>1154500</v>
      </c>
    </row>
    <row r="352" spans="2:4" ht="15" thickBot="1" x14ac:dyDescent="0.4">
      <c r="B352" s="1" t="s">
        <v>879</v>
      </c>
      <c r="C352" t="str">
        <f t="shared" si="10"/>
        <v>Jaguar E-Pace D200 AWD R-Dynamic HSE</v>
      </c>
      <c r="D352">
        <f t="shared" si="11"/>
        <v>1155000</v>
      </c>
    </row>
    <row r="353" spans="2:4" ht="15" thickBot="1" x14ac:dyDescent="0.4">
      <c r="B353" s="1" t="s">
        <v>880</v>
      </c>
      <c r="C353" t="str">
        <f t="shared" si="10"/>
        <v>Mercedes-Benz GLC220d Coupé 4Matic</v>
      </c>
      <c r="D353">
        <f t="shared" si="11"/>
        <v>1156053</v>
      </c>
    </row>
    <row r="354" spans="2:4" ht="15" thickBot="1" x14ac:dyDescent="0.4">
      <c r="B354" s="1" t="s">
        <v>881</v>
      </c>
      <c r="C354" t="str">
        <f t="shared" si="10"/>
        <v>Land Rover Discovery Sport P250 R-Dynamic HSE</v>
      </c>
      <c r="D354">
        <f t="shared" si="11"/>
        <v>1159600</v>
      </c>
    </row>
    <row r="355" spans="2:4" ht="15" thickBot="1" x14ac:dyDescent="0.4">
      <c r="B355" s="1" t="s">
        <v>882</v>
      </c>
      <c r="C355" t="str">
        <f t="shared" si="10"/>
        <v>Mercedes-Benz EQA 250 Progressive</v>
      </c>
      <c r="D355">
        <f t="shared" si="11"/>
        <v>1174000</v>
      </c>
    </row>
    <row r="356" spans="2:4" ht="15" thickBot="1" x14ac:dyDescent="0.4">
      <c r="B356" s="1" t="s">
        <v>883</v>
      </c>
      <c r="C356" t="str">
        <f t="shared" si="10"/>
        <v>Toyota Land Cruiser Prado 4.0 VX</v>
      </c>
      <c r="D356">
        <f t="shared" si="11"/>
        <v>1183600</v>
      </c>
    </row>
    <row r="357" spans="2:4" ht="15" thickBot="1" x14ac:dyDescent="0.4">
      <c r="B357" s="1" t="s">
        <v>884</v>
      </c>
      <c r="C357" t="str">
        <f t="shared" si="10"/>
        <v>BMW X4 xDrive20d M Sport</v>
      </c>
      <c r="D357">
        <f t="shared" si="11"/>
        <v>1192894</v>
      </c>
    </row>
    <row r="358" spans="2:4" ht="15" thickBot="1" x14ac:dyDescent="0.4">
      <c r="B358" s="1" t="s">
        <v>885</v>
      </c>
      <c r="C358" t="str">
        <f t="shared" si="10"/>
        <v>Audi RSQ3 quattro</v>
      </c>
      <c r="D358">
        <f t="shared" si="11"/>
        <v>1195900</v>
      </c>
    </row>
    <row r="359" spans="2:4" ht="15" thickBot="1" x14ac:dyDescent="0.4">
      <c r="B359" s="1" t="s">
        <v>886</v>
      </c>
      <c r="C359" t="str">
        <f t="shared" si="10"/>
        <v>Land Rover Range Rover Evoque D200 R-Dynamic HSE</v>
      </c>
      <c r="D359">
        <f t="shared" si="11"/>
        <v>1196500</v>
      </c>
    </row>
    <row r="360" spans="2:4" ht="15" thickBot="1" x14ac:dyDescent="0.4">
      <c r="B360" s="1" t="s">
        <v>887</v>
      </c>
      <c r="C360" t="str">
        <f t="shared" si="10"/>
        <v>Mercedes-Benz GLC300d Coupé 4Matic</v>
      </c>
      <c r="D360">
        <f t="shared" si="11"/>
        <v>1200313</v>
      </c>
    </row>
    <row r="361" spans="2:4" ht="15" thickBot="1" x14ac:dyDescent="0.4">
      <c r="B361" s="1" t="s">
        <v>888</v>
      </c>
      <c r="C361" t="str">
        <f t="shared" si="10"/>
        <v>Land Rover Range Rover Evoque P250 R-Dynamic HSE</v>
      </c>
      <c r="D361">
        <f t="shared" si="11"/>
        <v>1201900</v>
      </c>
    </row>
    <row r="362" spans="2:4" ht="15" thickBot="1" x14ac:dyDescent="0.4">
      <c r="B362" s="1" t="s">
        <v>889</v>
      </c>
      <c r="C362" t="str">
        <f t="shared" si="10"/>
        <v>Alfa Romeo Stelvio 2.0T Veloce Q4</v>
      </c>
      <c r="D362">
        <f t="shared" si="11"/>
        <v>1204900</v>
      </c>
    </row>
    <row r="363" spans="2:4" ht="15" thickBot="1" x14ac:dyDescent="0.4">
      <c r="B363" s="1" t="s">
        <v>890</v>
      </c>
      <c r="C363" t="str">
        <f t="shared" si="10"/>
        <v>Lexus RX 350 EX</v>
      </c>
      <c r="D363">
        <f t="shared" si="11"/>
        <v>1206700</v>
      </c>
    </row>
    <row r="364" spans="2:4" ht="15" thickBot="1" x14ac:dyDescent="0.4">
      <c r="B364" s="1" t="s">
        <v>891</v>
      </c>
      <c r="C364" t="str">
        <f t="shared" si="10"/>
        <v>Mercedes-Benz GLC220d 4Matic AMG Line</v>
      </c>
      <c r="D364">
        <f t="shared" si="11"/>
        <v>1206905</v>
      </c>
    </row>
    <row r="365" spans="2:4" ht="15" thickBot="1" x14ac:dyDescent="0.4">
      <c r="B365" s="1" t="s">
        <v>892</v>
      </c>
      <c r="C365" t="str">
        <f t="shared" si="10"/>
        <v>Mercedes-Benz GLC220d Coupé 4Matic AMG Line</v>
      </c>
      <c r="D365">
        <f t="shared" si="11"/>
        <v>1209953</v>
      </c>
    </row>
    <row r="366" spans="2:4" ht="15" thickBot="1" x14ac:dyDescent="0.4">
      <c r="B366" s="1" t="s">
        <v>893</v>
      </c>
      <c r="C366" t="str">
        <f t="shared" si="10"/>
        <v>Porsche Macan T</v>
      </c>
      <c r="D366">
        <f t="shared" si="11"/>
        <v>1215000</v>
      </c>
    </row>
    <row r="367" spans="2:4" ht="15" thickBot="1" x14ac:dyDescent="0.4">
      <c r="B367" s="1" t="s">
        <v>894</v>
      </c>
      <c r="C367" t="str">
        <f t="shared" si="10"/>
        <v>Toyota Land Cruiser Prado 2.8GD VX</v>
      </c>
      <c r="D367">
        <f t="shared" si="11"/>
        <v>1220000</v>
      </c>
    </row>
    <row r="368" spans="2:4" ht="15" thickBot="1" x14ac:dyDescent="0.4">
      <c r="B368" s="1" t="s">
        <v>895</v>
      </c>
      <c r="C368" t="str">
        <f t="shared" si="10"/>
        <v>Mercedes-Benz EQA 250 AMG Line</v>
      </c>
      <c r="D368">
        <f t="shared" si="11"/>
        <v>1227000</v>
      </c>
    </row>
    <row r="369" spans="2:4" ht="15" thickBot="1" x14ac:dyDescent="0.4">
      <c r="B369" s="1" t="s">
        <v>896</v>
      </c>
      <c r="C369" t="str">
        <f t="shared" si="10"/>
        <v>Audi RSQ3 Sportback quattro</v>
      </c>
      <c r="D369">
        <f t="shared" si="11"/>
        <v>1232300</v>
      </c>
    </row>
    <row r="370" spans="2:4" ht="15" thickBot="1" x14ac:dyDescent="0.4">
      <c r="B370" s="1" t="s">
        <v>897</v>
      </c>
      <c r="C370" t="str">
        <f t="shared" si="10"/>
        <v>Toyota Land Cruiser Prado 4.0 VX-L</v>
      </c>
      <c r="D370">
        <f t="shared" si="11"/>
        <v>1233800</v>
      </c>
    </row>
    <row r="371" spans="2:4" ht="15" thickBot="1" x14ac:dyDescent="0.4">
      <c r="B371" s="1" t="s">
        <v>898</v>
      </c>
      <c r="C371" t="str">
        <f t="shared" si="10"/>
        <v>Mercedes-Benz GLC300 Coupé 4Matic</v>
      </c>
      <c r="D371">
        <f t="shared" si="11"/>
        <v>1239035</v>
      </c>
    </row>
    <row r="372" spans="2:4" ht="15" thickBot="1" x14ac:dyDescent="0.4">
      <c r="B372" s="1" t="s">
        <v>899</v>
      </c>
      <c r="C372" t="str">
        <f t="shared" si="10"/>
        <v>Mercedes-Benz GLC300 4Matic</v>
      </c>
      <c r="D372">
        <f t="shared" si="11"/>
        <v>1243323</v>
      </c>
    </row>
    <row r="373" spans="2:4" ht="15" thickBot="1" x14ac:dyDescent="0.4">
      <c r="B373" s="1" t="s">
        <v>900</v>
      </c>
      <c r="C373" t="str">
        <f t="shared" si="10"/>
        <v>Mercedes-Benz GLC300d Coupé 4Matic AMG Line</v>
      </c>
      <c r="D373">
        <f t="shared" si="11"/>
        <v>1254213</v>
      </c>
    </row>
    <row r="374" spans="2:4" ht="15" thickBot="1" x14ac:dyDescent="0.4">
      <c r="B374" s="1" t="s">
        <v>901</v>
      </c>
      <c r="C374" t="str">
        <f t="shared" si="10"/>
        <v>BMW X3 xDrive30d</v>
      </c>
      <c r="D374">
        <f t="shared" si="11"/>
        <v>1256840</v>
      </c>
    </row>
    <row r="375" spans="2:4" ht="15" thickBot="1" x14ac:dyDescent="0.4">
      <c r="B375" s="1" t="s">
        <v>902</v>
      </c>
      <c r="C375" t="str">
        <f t="shared" si="10"/>
        <v>Volvo XC40 P8 Recharge Twin AWD Ultimate</v>
      </c>
      <c r="D375">
        <f t="shared" si="11"/>
        <v>1260000</v>
      </c>
    </row>
    <row r="376" spans="2:4" ht="15" thickBot="1" x14ac:dyDescent="0.4">
      <c r="B376" s="1" t="s">
        <v>903</v>
      </c>
      <c r="C376" t="str">
        <f t="shared" si="10"/>
        <v>Land Rover Range Rover Evoque D200 Autobiography</v>
      </c>
      <c r="D376">
        <f t="shared" si="11"/>
        <v>1268700</v>
      </c>
    </row>
    <row r="377" spans="2:4" ht="15" thickBot="1" x14ac:dyDescent="0.4">
      <c r="B377" s="1" t="s">
        <v>904</v>
      </c>
      <c r="C377" t="str">
        <f t="shared" si="10"/>
        <v>Toyota Land Cruiser Prado 2.8GD VX-L</v>
      </c>
      <c r="D377">
        <f t="shared" si="11"/>
        <v>1271900</v>
      </c>
    </row>
    <row r="378" spans="2:4" ht="15" thickBot="1" x14ac:dyDescent="0.4">
      <c r="B378" s="1" t="s">
        <v>905</v>
      </c>
      <c r="C378" t="str">
        <f t="shared" si="10"/>
        <v>Land Rover Range Rover Evoque P250 Autobiography</v>
      </c>
      <c r="D378">
        <f t="shared" si="11"/>
        <v>1274100</v>
      </c>
    </row>
    <row r="379" spans="2:4" ht="15" thickBot="1" x14ac:dyDescent="0.4">
      <c r="B379" s="1" t="s">
        <v>906</v>
      </c>
      <c r="C379" t="str">
        <f t="shared" si="10"/>
        <v>Audi SQ5 TFSI quattro</v>
      </c>
      <c r="D379">
        <f t="shared" si="11"/>
        <v>1278500</v>
      </c>
    </row>
    <row r="380" spans="2:4" ht="15" thickBot="1" x14ac:dyDescent="0.4">
      <c r="B380" s="1" t="s">
        <v>907</v>
      </c>
      <c r="C380" t="str">
        <f t="shared" si="10"/>
        <v>Volvo XC60 T8 Recharge AWD Plus Dark</v>
      </c>
      <c r="D380">
        <f t="shared" si="11"/>
        <v>1284000</v>
      </c>
    </row>
    <row r="381" spans="2:4" ht="15" thickBot="1" x14ac:dyDescent="0.4">
      <c r="B381" s="1" t="s">
        <v>908</v>
      </c>
      <c r="C381" t="str">
        <f t="shared" si="10"/>
        <v>Mercedes-Benz GLC300 Coupé 4Matic AMG Line</v>
      </c>
      <c r="D381">
        <f t="shared" si="11"/>
        <v>1292935</v>
      </c>
    </row>
    <row r="382" spans="2:4" ht="15" thickBot="1" x14ac:dyDescent="0.4">
      <c r="B382" s="1" t="s">
        <v>909</v>
      </c>
      <c r="C382" t="str">
        <f t="shared" si="10"/>
        <v>Volvo C40 P8 Recharge Twin AWD Ultimate</v>
      </c>
      <c r="D382">
        <f t="shared" si="11"/>
        <v>1295000</v>
      </c>
    </row>
    <row r="383" spans="2:4" ht="15" thickBot="1" x14ac:dyDescent="0.4">
      <c r="B383" s="1" t="s">
        <v>910</v>
      </c>
      <c r="C383" t="str">
        <f t="shared" si="10"/>
        <v>Lexus RX 350L EX</v>
      </c>
      <c r="D383">
        <f t="shared" si="11"/>
        <v>1295900</v>
      </c>
    </row>
    <row r="384" spans="2:4" ht="15" thickBot="1" x14ac:dyDescent="0.4">
      <c r="B384" s="1" t="s">
        <v>911</v>
      </c>
      <c r="C384" t="str">
        <f t="shared" si="10"/>
        <v>BMW X3 xDrive30d M Sport</v>
      </c>
      <c r="D384">
        <f t="shared" si="11"/>
        <v>1296840</v>
      </c>
    </row>
    <row r="385" spans="2:4" ht="15" thickBot="1" x14ac:dyDescent="0.4">
      <c r="B385" s="1" t="s">
        <v>912</v>
      </c>
      <c r="C385" t="str">
        <f t="shared" si="10"/>
        <v>BMW iX3 M Sport</v>
      </c>
      <c r="D385">
        <f t="shared" si="11"/>
        <v>1306400</v>
      </c>
    </row>
    <row r="386" spans="2:4" ht="15" thickBot="1" x14ac:dyDescent="0.4">
      <c r="B386" s="1" t="s">
        <v>913</v>
      </c>
      <c r="C386" t="str">
        <f t="shared" si="10"/>
        <v>Volvo XC60 T8 Recharge AWD Plus Bright</v>
      </c>
      <c r="D386">
        <f t="shared" si="11"/>
        <v>1310000</v>
      </c>
    </row>
    <row r="387" spans="2:4" ht="15" thickBot="1" x14ac:dyDescent="0.4">
      <c r="B387" s="1" t="s">
        <v>914</v>
      </c>
      <c r="C387" t="str">
        <f t="shared" ref="C387:C450" si="12">TRIM(LEFT(B387, FIND("©",SUBSTITUTE(B387,"R","©",LEN(B387)-LEN(SUBSTITUTE(B387,"R",""))))-1))</f>
        <v>Land Rover Defender 90 D240 SE</v>
      </c>
      <c r="D387">
        <f t="shared" ref="D387:D450" si="13">--SUBSTITUTE(TRIM(RIGHT(B387, LEN(B387) - FIND("©",SUBSTITUTE(B387,"R","©",LEN(B387)-LEN(SUBSTITUTE(B387,"R","")))))), " ", "")</f>
        <v>1311500</v>
      </c>
    </row>
    <row r="388" spans="2:4" ht="15" thickBot="1" x14ac:dyDescent="0.4">
      <c r="B388" s="1" t="s">
        <v>915</v>
      </c>
      <c r="C388" t="str">
        <f t="shared" si="12"/>
        <v>Volvo XC90 B5 AWD Essential</v>
      </c>
      <c r="D388">
        <f t="shared" si="13"/>
        <v>1312500</v>
      </c>
    </row>
    <row r="389" spans="2:4" ht="15" thickBot="1" x14ac:dyDescent="0.4">
      <c r="B389" s="1" t="s">
        <v>916</v>
      </c>
      <c r="C389" t="str">
        <f t="shared" si="12"/>
        <v>Mercedes-Benz GLC300d 4Matic</v>
      </c>
      <c r="D389">
        <f t="shared" si="13"/>
        <v>1323894</v>
      </c>
    </row>
    <row r="390" spans="2:4" ht="15" thickBot="1" x14ac:dyDescent="0.4">
      <c r="B390" s="1" t="s">
        <v>917</v>
      </c>
      <c r="C390" t="str">
        <f t="shared" si="12"/>
        <v>Mercedes-Benz GLC300 4Matic AMG Line</v>
      </c>
      <c r="D390">
        <f t="shared" si="13"/>
        <v>1325916</v>
      </c>
    </row>
    <row r="391" spans="2:4" ht="15" thickBot="1" x14ac:dyDescent="0.4">
      <c r="B391" s="1" t="s">
        <v>918</v>
      </c>
      <c r="C391" t="str">
        <f t="shared" si="12"/>
        <v>Jeep Grand Cherokee L 3.6 4x4 Limited</v>
      </c>
      <c r="D391">
        <f t="shared" si="13"/>
        <v>1329900</v>
      </c>
    </row>
    <row r="392" spans="2:4" ht="15" thickBot="1" x14ac:dyDescent="0.4">
      <c r="B392" s="1" t="s">
        <v>919</v>
      </c>
      <c r="C392" t="str">
        <f t="shared" si="12"/>
        <v>Volkswagen Touareg V6 TDI Luxury</v>
      </c>
      <c r="D392">
        <f t="shared" si="13"/>
        <v>1331800</v>
      </c>
    </row>
    <row r="393" spans="2:4" ht="15" thickBot="1" x14ac:dyDescent="0.4">
      <c r="B393" s="1" t="s">
        <v>920</v>
      </c>
      <c r="C393" t="str">
        <f t="shared" si="12"/>
        <v>Porsche Macan S</v>
      </c>
      <c r="D393">
        <f t="shared" si="13"/>
        <v>1337000</v>
      </c>
    </row>
    <row r="394" spans="2:4" ht="15" thickBot="1" x14ac:dyDescent="0.4">
      <c r="B394" s="1" t="s">
        <v>921</v>
      </c>
      <c r="C394" t="str">
        <f t="shared" si="12"/>
        <v>Land Rover Defender 110 D240 SE</v>
      </c>
      <c r="D394">
        <f t="shared" si="13"/>
        <v>1345500</v>
      </c>
    </row>
    <row r="395" spans="2:4" ht="15" thickBot="1" x14ac:dyDescent="0.4">
      <c r="B395" s="1" t="s">
        <v>922</v>
      </c>
      <c r="C395" t="str">
        <f t="shared" si="12"/>
        <v>Lexus RX 350 F Sport</v>
      </c>
      <c r="D395">
        <f t="shared" si="13"/>
        <v>1349500</v>
      </c>
    </row>
    <row r="396" spans="2:4" ht="15" thickBot="1" x14ac:dyDescent="0.4">
      <c r="B396" s="1" t="s">
        <v>923</v>
      </c>
      <c r="C396" t="str">
        <f t="shared" si="12"/>
        <v>Jaguar F-Pace D200 AWD R-Dynamic SE</v>
      </c>
      <c r="D396">
        <f t="shared" si="13"/>
        <v>1357000</v>
      </c>
    </row>
    <row r="397" spans="2:4" ht="15" thickBot="1" x14ac:dyDescent="0.4">
      <c r="B397" s="1" t="s">
        <v>924</v>
      </c>
      <c r="C397" t="str">
        <f t="shared" si="12"/>
        <v>Toyota Land Cruiser 300 3.3D GX-R</v>
      </c>
      <c r="D397">
        <f t="shared" si="13"/>
        <v>1375100</v>
      </c>
    </row>
    <row r="398" spans="2:4" ht="15" thickBot="1" x14ac:dyDescent="0.4">
      <c r="B398" s="1" t="s">
        <v>925</v>
      </c>
      <c r="C398" t="str">
        <f t="shared" si="12"/>
        <v>Mercedes-Benz EQB 350 4Matic Progressive</v>
      </c>
      <c r="D398">
        <f t="shared" si="13"/>
        <v>1379000</v>
      </c>
    </row>
    <row r="399" spans="2:4" ht="15" thickBot="1" x14ac:dyDescent="0.4">
      <c r="B399" s="1" t="s">
        <v>926</v>
      </c>
      <c r="C399" t="str">
        <f t="shared" si="12"/>
        <v>Audi SQ5 Sportback TFSI quattro</v>
      </c>
      <c r="D399">
        <f t="shared" si="13"/>
        <v>1405500</v>
      </c>
    </row>
    <row r="400" spans="2:4" ht="15" thickBot="1" x14ac:dyDescent="0.4">
      <c r="B400" s="1" t="s">
        <v>927</v>
      </c>
      <c r="C400" t="str">
        <f t="shared" si="12"/>
        <v>Mercedes-Benz GLC300d 4Matic AMG Line</v>
      </c>
      <c r="D400">
        <f t="shared" si="13"/>
        <v>1406487</v>
      </c>
    </row>
    <row r="401" spans="2:4" ht="15" thickBot="1" x14ac:dyDescent="0.4">
      <c r="B401" s="1" t="s">
        <v>928</v>
      </c>
      <c r="C401" t="str">
        <f t="shared" si="12"/>
        <v>Volvo XC90 B5 AWD Plus Dark</v>
      </c>
      <c r="D401">
        <f t="shared" si="13"/>
        <v>1408500</v>
      </c>
    </row>
    <row r="402" spans="2:4" ht="15" thickBot="1" x14ac:dyDescent="0.4">
      <c r="B402" s="1" t="s">
        <v>929</v>
      </c>
      <c r="C402" t="str">
        <f t="shared" si="12"/>
        <v>Jaguar F-Pace D300 AWD R-Dynamic SE</v>
      </c>
      <c r="D402">
        <f t="shared" si="13"/>
        <v>1416000</v>
      </c>
    </row>
    <row r="403" spans="2:4" ht="15" thickBot="1" x14ac:dyDescent="0.4">
      <c r="B403" s="1" t="s">
        <v>930</v>
      </c>
      <c r="C403" t="str">
        <f t="shared" si="12"/>
        <v>Jaguar F-Pace D200 AWD R-Dynamic HSE</v>
      </c>
      <c r="D403">
        <f t="shared" si="13"/>
        <v>1417000</v>
      </c>
    </row>
    <row r="404" spans="2:4" ht="15" thickBot="1" x14ac:dyDescent="0.4">
      <c r="B404" s="1" t="s">
        <v>931</v>
      </c>
      <c r="C404" t="str">
        <f t="shared" si="12"/>
        <v>Mercedes-Benz EQB 350 4Matic AMG Line</v>
      </c>
      <c r="D404">
        <f t="shared" si="13"/>
        <v>1432000</v>
      </c>
    </row>
    <row r="405" spans="2:4" ht="15" thickBot="1" x14ac:dyDescent="0.4">
      <c r="B405" s="1" t="s">
        <v>932</v>
      </c>
      <c r="C405" t="str">
        <f t="shared" si="12"/>
        <v>Land Rover Defender 90 D240 XS Edition</v>
      </c>
      <c r="D405">
        <f t="shared" si="13"/>
        <v>1439500</v>
      </c>
    </row>
    <row r="406" spans="2:4" ht="15" thickBot="1" x14ac:dyDescent="0.4">
      <c r="B406" s="1" t="s">
        <v>933</v>
      </c>
      <c r="C406" t="str">
        <f t="shared" si="12"/>
        <v>Land Rover Defender 110 D300 SE</v>
      </c>
      <c r="D406">
        <f t="shared" si="13"/>
        <v>1443600</v>
      </c>
    </row>
    <row r="407" spans="2:4" ht="15" thickBot="1" x14ac:dyDescent="0.4">
      <c r="B407" s="1" t="s">
        <v>934</v>
      </c>
      <c r="C407" t="str">
        <f t="shared" si="12"/>
        <v>Land Rover Defender 110 D240 X-Dynamic SE</v>
      </c>
      <c r="D407">
        <f t="shared" si="13"/>
        <v>1449500</v>
      </c>
    </row>
    <row r="408" spans="2:4" ht="15" thickBot="1" x14ac:dyDescent="0.4">
      <c r="B408" s="1" t="s">
        <v>935</v>
      </c>
      <c r="C408" t="str">
        <f t="shared" si="12"/>
        <v>Volvo XC90 B6 AWD Plus Dark</v>
      </c>
      <c r="D408">
        <f t="shared" si="13"/>
        <v>1463900</v>
      </c>
    </row>
    <row r="409" spans="2:4" ht="15" thickBot="1" x14ac:dyDescent="0.4">
      <c r="B409" s="1" t="s">
        <v>936</v>
      </c>
      <c r="C409" t="str">
        <f t="shared" si="12"/>
        <v>BMW X3 M40i</v>
      </c>
      <c r="D409">
        <f t="shared" si="13"/>
        <v>1468146</v>
      </c>
    </row>
    <row r="410" spans="2:4" ht="15" thickBot="1" x14ac:dyDescent="0.4">
      <c r="B410" s="1" t="s">
        <v>937</v>
      </c>
      <c r="C410" t="str">
        <f t="shared" si="12"/>
        <v>Land Rover Range Rover Evoque P300e Bronze Collection</v>
      </c>
      <c r="D410">
        <f t="shared" si="13"/>
        <v>1469700</v>
      </c>
    </row>
    <row r="411" spans="2:4" ht="15" thickBot="1" x14ac:dyDescent="0.4">
      <c r="B411" s="1" t="s">
        <v>938</v>
      </c>
      <c r="C411" t="str">
        <f t="shared" si="12"/>
        <v>Land Rover Defender 110 D240 XS Edition</v>
      </c>
      <c r="D411">
        <f t="shared" si="13"/>
        <v>1470500</v>
      </c>
    </row>
    <row r="412" spans="2:4" ht="15" thickBot="1" x14ac:dyDescent="0.4">
      <c r="B412" s="1" t="s">
        <v>939</v>
      </c>
      <c r="C412" t="str">
        <f t="shared" si="12"/>
        <v>Land Rover Defender 90 D240 X-Dynamic HSE</v>
      </c>
      <c r="D412">
        <f t="shared" si="13"/>
        <v>1474500</v>
      </c>
    </row>
    <row r="413" spans="2:4" ht="15" thickBot="1" x14ac:dyDescent="0.4">
      <c r="B413" s="1" t="s">
        <v>940</v>
      </c>
      <c r="C413" t="str">
        <f t="shared" si="12"/>
        <v>Jaguar F-Pace D300 AWD R-Dynamic HSE</v>
      </c>
      <c r="D413">
        <f t="shared" si="13"/>
        <v>1477000</v>
      </c>
    </row>
    <row r="414" spans="2:4" ht="15" thickBot="1" x14ac:dyDescent="0.4">
      <c r="B414" s="1" t="s">
        <v>941</v>
      </c>
      <c r="C414" t="str">
        <f t="shared" si="12"/>
        <v>Jaguar E-Pace P300e AWD R-Dynamic SE</v>
      </c>
      <c r="D414">
        <f t="shared" si="13"/>
        <v>1478000</v>
      </c>
    </row>
    <row r="415" spans="2:4" ht="15" thickBot="1" x14ac:dyDescent="0.4">
      <c r="B415" s="1" t="s">
        <v>942</v>
      </c>
      <c r="C415" t="str">
        <f t="shared" si="12"/>
        <v>Land Rover Range Rover Evoque P300e R-Dynamic SE</v>
      </c>
      <c r="D415">
        <f t="shared" si="13"/>
        <v>1483600</v>
      </c>
    </row>
    <row r="416" spans="2:4" ht="15" thickBot="1" x14ac:dyDescent="0.4">
      <c r="B416" s="1" t="s">
        <v>943</v>
      </c>
      <c r="C416" t="str">
        <f t="shared" si="12"/>
        <v>Land Rover Defender 90 D300 X-Dynamic SE</v>
      </c>
      <c r="D416">
        <f t="shared" si="13"/>
        <v>1494600</v>
      </c>
    </row>
    <row r="417" spans="2:4" ht="15" thickBot="1" x14ac:dyDescent="0.4">
      <c r="B417" s="1" t="s">
        <v>944</v>
      </c>
      <c r="C417" t="str">
        <f t="shared" si="12"/>
        <v>Land Rover Discovery Sport P300e R-Dynamic SE</v>
      </c>
      <c r="D417">
        <f t="shared" si="13"/>
        <v>1494700</v>
      </c>
    </row>
    <row r="418" spans="2:4" ht="15" thickBot="1" x14ac:dyDescent="0.4">
      <c r="B418" s="1" t="s">
        <v>945</v>
      </c>
      <c r="C418" t="str">
        <f t="shared" si="12"/>
        <v>Land Rover Defender 110 D240 X-Dynamic HSE</v>
      </c>
      <c r="D418">
        <f t="shared" si="13"/>
        <v>1511500</v>
      </c>
    </row>
    <row r="419" spans="2:4" ht="15" thickBot="1" x14ac:dyDescent="0.4">
      <c r="B419" s="1" t="s">
        <v>946</v>
      </c>
      <c r="C419" t="str">
        <f t="shared" si="12"/>
        <v>Ineos Grenadier 3.0TD</v>
      </c>
      <c r="D419">
        <f t="shared" si="13"/>
        <v>1513100</v>
      </c>
    </row>
    <row r="420" spans="2:4" ht="15" thickBot="1" x14ac:dyDescent="0.4">
      <c r="B420" s="1" t="s">
        <v>947</v>
      </c>
      <c r="C420" t="str">
        <f t="shared" si="12"/>
        <v>Land Rover Range Rover Velar D200 Dynamic SE</v>
      </c>
      <c r="D420">
        <f t="shared" si="13"/>
        <v>1519000</v>
      </c>
    </row>
    <row r="421" spans="2:4" ht="15" thickBot="1" x14ac:dyDescent="0.4">
      <c r="B421" s="1" t="s">
        <v>948</v>
      </c>
      <c r="C421" t="str">
        <f t="shared" si="12"/>
        <v>Audi Q7 45TDI quattro</v>
      </c>
      <c r="D421">
        <f t="shared" si="13"/>
        <v>1520000</v>
      </c>
    </row>
    <row r="422" spans="2:4" ht="15" thickBot="1" x14ac:dyDescent="0.4">
      <c r="B422" s="1" t="s">
        <v>949</v>
      </c>
      <c r="C422" t="str">
        <f t="shared" si="12"/>
        <v>Mercedes-Benz EQB 350 4Matic Edition 1</v>
      </c>
      <c r="D422">
        <f t="shared" si="13"/>
        <v>1523400</v>
      </c>
    </row>
    <row r="423" spans="2:4" ht="15" thickBot="1" x14ac:dyDescent="0.4">
      <c r="B423" s="1" t="s">
        <v>950</v>
      </c>
      <c r="C423" t="str">
        <f t="shared" si="12"/>
        <v>Jeep Grand Cherokee L 3.6 4x4 Overland</v>
      </c>
      <c r="D423">
        <f t="shared" si="13"/>
        <v>1529900</v>
      </c>
    </row>
    <row r="424" spans="2:4" ht="15" thickBot="1" x14ac:dyDescent="0.4">
      <c r="B424" s="1" t="s">
        <v>951</v>
      </c>
      <c r="C424" t="str">
        <f t="shared" si="12"/>
        <v>Land Rover Discovery Sport P300e R-Dynamic HSE</v>
      </c>
      <c r="D424">
        <f t="shared" si="13"/>
        <v>1534200</v>
      </c>
    </row>
    <row r="425" spans="2:4" ht="15" thickBot="1" x14ac:dyDescent="0.4">
      <c r="B425" s="1" t="s">
        <v>952</v>
      </c>
      <c r="C425" t="str">
        <f t="shared" si="12"/>
        <v>Land Rover Defender 110 D300 X-Dynamic SE</v>
      </c>
      <c r="D425">
        <f t="shared" si="13"/>
        <v>1535600</v>
      </c>
    </row>
    <row r="426" spans="2:4" ht="15" thickBot="1" x14ac:dyDescent="0.4">
      <c r="B426" s="1" t="s">
        <v>953</v>
      </c>
      <c r="C426" t="str">
        <f t="shared" si="12"/>
        <v>Jaguar E-Pace P300e AWD R-Dynamic HSE</v>
      </c>
      <c r="D426">
        <f t="shared" si="13"/>
        <v>1541000</v>
      </c>
    </row>
    <row r="427" spans="2:4" ht="15" thickBot="1" x14ac:dyDescent="0.4">
      <c r="B427" s="1" t="s">
        <v>954</v>
      </c>
      <c r="C427" t="str">
        <f t="shared" si="12"/>
        <v>Land Rover Range Rover Evoque P300e R-Dynamic HSE</v>
      </c>
      <c r="D427">
        <f t="shared" si="13"/>
        <v>1542000</v>
      </c>
    </row>
    <row r="428" spans="2:4" ht="15" thickBot="1" x14ac:dyDescent="0.4">
      <c r="B428" s="1" t="s">
        <v>955</v>
      </c>
      <c r="C428" t="str">
        <f t="shared" si="12"/>
        <v>Porsche Cayenne</v>
      </c>
      <c r="D428">
        <f t="shared" si="13"/>
        <v>1545000</v>
      </c>
    </row>
    <row r="429" spans="2:4" ht="15" thickBot="1" x14ac:dyDescent="0.4">
      <c r="B429" s="1" t="s">
        <v>956</v>
      </c>
      <c r="C429" t="str">
        <f t="shared" si="12"/>
        <v>BMW X4 M40i</v>
      </c>
      <c r="D429">
        <f t="shared" si="13"/>
        <v>1558146</v>
      </c>
    </row>
    <row r="430" spans="2:4" ht="15" thickBot="1" x14ac:dyDescent="0.4">
      <c r="B430" s="1" t="s">
        <v>957</v>
      </c>
      <c r="C430" t="str">
        <f t="shared" si="12"/>
        <v>Land Rover Defender 90 D300 X-Dynamic HSE</v>
      </c>
      <c r="D430">
        <f t="shared" si="13"/>
        <v>1561600</v>
      </c>
    </row>
    <row r="431" spans="2:4" ht="15" thickBot="1" x14ac:dyDescent="0.4">
      <c r="B431" s="1" t="s">
        <v>958</v>
      </c>
      <c r="C431" t="str">
        <f t="shared" si="12"/>
        <v>Audi Q7 45TDI quattro S line</v>
      </c>
      <c r="D431">
        <f t="shared" si="13"/>
        <v>1565000</v>
      </c>
    </row>
    <row r="432" spans="2:4" ht="15" thickBot="1" x14ac:dyDescent="0.4">
      <c r="B432" s="1" t="s">
        <v>959</v>
      </c>
      <c r="C432" t="str">
        <f t="shared" si="12"/>
        <v>Lexus RX 450h SE</v>
      </c>
      <c r="D432">
        <f t="shared" si="13"/>
        <v>1567800</v>
      </c>
    </row>
    <row r="433" spans="2:4" ht="15" thickBot="1" x14ac:dyDescent="0.4">
      <c r="B433" s="1" t="s">
        <v>960</v>
      </c>
      <c r="C433" t="str">
        <f t="shared" si="12"/>
        <v>Land Rover Defender 110 D300 X-Dynamic HSE</v>
      </c>
      <c r="D433">
        <f t="shared" si="13"/>
        <v>1598600</v>
      </c>
    </row>
    <row r="434" spans="2:4" ht="15" thickBot="1" x14ac:dyDescent="0.4">
      <c r="B434" s="1" t="s">
        <v>961</v>
      </c>
      <c r="C434" t="str">
        <f t="shared" si="12"/>
        <v>BMW X5 xDrive30d</v>
      </c>
      <c r="D434">
        <f t="shared" si="13"/>
        <v>1603510</v>
      </c>
    </row>
    <row r="435" spans="2:4" ht="15" thickBot="1" x14ac:dyDescent="0.4">
      <c r="B435" s="1" t="s">
        <v>962</v>
      </c>
      <c r="C435" t="str">
        <f t="shared" si="12"/>
        <v>Land Rover Defender 90 P400 X-Dynamic HSE</v>
      </c>
      <c r="D435">
        <f t="shared" si="13"/>
        <v>1607700</v>
      </c>
    </row>
    <row r="436" spans="2:4" ht="15" thickBot="1" x14ac:dyDescent="0.4">
      <c r="B436" s="1" t="s">
        <v>963</v>
      </c>
      <c r="C436" t="str">
        <f t="shared" si="12"/>
        <v>Mercedes-AMG GLC43 Coupé 4Matic</v>
      </c>
      <c r="D436">
        <f t="shared" si="13"/>
        <v>1608193</v>
      </c>
    </row>
    <row r="437" spans="2:4" ht="15" thickBot="1" x14ac:dyDescent="0.4">
      <c r="B437" s="1" t="s">
        <v>964</v>
      </c>
      <c r="C437" t="str">
        <f t="shared" si="12"/>
        <v>Porsche Macan GTS</v>
      </c>
      <c r="D437">
        <f t="shared" si="13"/>
        <v>1617000</v>
      </c>
    </row>
    <row r="438" spans="2:4" ht="15" thickBot="1" x14ac:dyDescent="0.4">
      <c r="B438" s="1" t="s">
        <v>965</v>
      </c>
      <c r="C438" t="str">
        <f t="shared" si="12"/>
        <v>Land Rover Discovery D300 S</v>
      </c>
      <c r="D438">
        <f t="shared" si="13"/>
        <v>1617900</v>
      </c>
    </row>
    <row r="439" spans="2:4" ht="15" thickBot="1" x14ac:dyDescent="0.4">
      <c r="B439" s="1" t="s">
        <v>966</v>
      </c>
      <c r="C439" t="str">
        <f t="shared" si="12"/>
        <v>Land Rover Discovery P360 S</v>
      </c>
      <c r="D439">
        <f t="shared" si="13"/>
        <v>1618700</v>
      </c>
    </row>
    <row r="440" spans="2:4" ht="15" thickBot="1" x14ac:dyDescent="0.4">
      <c r="B440" s="1" t="s">
        <v>967</v>
      </c>
      <c r="C440" t="str">
        <f t="shared" si="12"/>
        <v>Volkswagen Touareg V6 TDI Executive R-Line</v>
      </c>
      <c r="D440">
        <f t="shared" si="13"/>
        <v>1622800</v>
      </c>
    </row>
    <row r="441" spans="2:4" ht="15" thickBot="1" x14ac:dyDescent="0.4">
      <c r="B441" s="1" t="s">
        <v>968</v>
      </c>
      <c r="C441" t="str">
        <f t="shared" si="12"/>
        <v>Mercedes-Benz GLE300d 4Matic</v>
      </c>
      <c r="D441">
        <f t="shared" si="13"/>
        <v>1623789</v>
      </c>
    </row>
    <row r="442" spans="2:4" ht="15" thickBot="1" x14ac:dyDescent="0.4">
      <c r="B442" s="1" t="s">
        <v>969</v>
      </c>
      <c r="C442" t="str">
        <f t="shared" si="12"/>
        <v>Porsche Cayenne Coupé</v>
      </c>
      <c r="D442">
        <f t="shared" si="13"/>
        <v>1627000</v>
      </c>
    </row>
    <row r="443" spans="2:4" ht="15" thickBot="1" x14ac:dyDescent="0.4">
      <c r="B443" s="1" t="s">
        <v>970</v>
      </c>
      <c r="C443" t="str">
        <f t="shared" si="12"/>
        <v>Ineos Grenadier 3.0TD Fieldmaster Edition</v>
      </c>
      <c r="D443">
        <f t="shared" si="13"/>
        <v>1630560</v>
      </c>
    </row>
    <row r="444" spans="2:4" ht="15" thickBot="1" x14ac:dyDescent="0.4">
      <c r="B444" s="1" t="s">
        <v>971</v>
      </c>
      <c r="C444" t="str">
        <f t="shared" si="12"/>
        <v>BMW X5 xDrive45e xLine</v>
      </c>
      <c r="D444">
        <f t="shared" si="13"/>
        <v>1638000</v>
      </c>
    </row>
    <row r="445" spans="2:4" ht="15" thickBot="1" x14ac:dyDescent="0.4">
      <c r="B445" s="1" t="s">
        <v>972</v>
      </c>
      <c r="C445" t="str">
        <f t="shared" si="12"/>
        <v>Land Rover Defender 110 P400 X-Dynamic HSE</v>
      </c>
      <c r="D445">
        <f t="shared" si="13"/>
        <v>1642700</v>
      </c>
    </row>
    <row r="446" spans="2:4" ht="15" thickBot="1" x14ac:dyDescent="0.4">
      <c r="B446" s="1" t="s">
        <v>973</v>
      </c>
      <c r="C446" t="str">
        <f t="shared" si="12"/>
        <v>Maserati Grecale GT</v>
      </c>
      <c r="D446">
        <f t="shared" si="13"/>
        <v>1650000</v>
      </c>
    </row>
    <row r="447" spans="2:4" ht="15" thickBot="1" x14ac:dyDescent="0.4">
      <c r="B447" s="1" t="s">
        <v>974</v>
      </c>
      <c r="C447" t="str">
        <f t="shared" si="12"/>
        <v>BMW X5 xDrive30d M Sport</v>
      </c>
      <c r="D447">
        <f t="shared" si="13"/>
        <v>1650510</v>
      </c>
    </row>
    <row r="448" spans="2:4" ht="15" thickBot="1" x14ac:dyDescent="0.4">
      <c r="B448" s="1" t="s">
        <v>975</v>
      </c>
      <c r="C448" t="str">
        <f t="shared" si="12"/>
        <v>Land Rover Range Rover Velar D200 Dynamic HSE</v>
      </c>
      <c r="D448">
        <f t="shared" si="13"/>
        <v>1653000</v>
      </c>
    </row>
    <row r="449" spans="2:4" ht="15" thickBot="1" x14ac:dyDescent="0.4">
      <c r="B449" s="1" t="s">
        <v>976</v>
      </c>
      <c r="C449" t="str">
        <f t="shared" si="12"/>
        <v>BMW X5 xDrive45e M Sport</v>
      </c>
      <c r="D449">
        <f t="shared" si="13"/>
        <v>1659400</v>
      </c>
    </row>
    <row r="450" spans="2:4" ht="15" thickBot="1" x14ac:dyDescent="0.4">
      <c r="B450" s="1" t="s">
        <v>977</v>
      </c>
      <c r="C450" t="str">
        <f t="shared" si="12"/>
        <v>Volvo XC90 T8 Recharge AWD Plus Dark</v>
      </c>
      <c r="D450">
        <f t="shared" si="13"/>
        <v>1663000</v>
      </c>
    </row>
    <row r="451" spans="2:4" ht="15" thickBot="1" x14ac:dyDescent="0.4">
      <c r="B451" s="1" t="s">
        <v>978</v>
      </c>
      <c r="C451" t="str">
        <f t="shared" ref="C451:C514" si="14">TRIM(LEFT(B451, FIND("©",SUBSTITUTE(B451,"R","©",LEN(B451)-LEN(SUBSTITUTE(B451,"R",""))))-1))</f>
        <v>Audi Q8 45TDI quattro</v>
      </c>
      <c r="D451">
        <f t="shared" ref="D451:D514" si="15">--SUBSTITUTE(TRIM(RIGHT(B451, LEN(B451) - FIND("©",SUBSTITUTE(B451,"R","©",LEN(B451)-LEN(SUBSTITUTE(B451,"R","")))))), " ", "")</f>
        <v>1672700</v>
      </c>
    </row>
    <row r="452" spans="2:4" ht="15" thickBot="1" x14ac:dyDescent="0.4">
      <c r="B452" s="1" t="s">
        <v>979</v>
      </c>
      <c r="C452" t="str">
        <f t="shared" si="14"/>
        <v>Mercedes-Benz EQC 400 4Matic AMG Line</v>
      </c>
      <c r="D452">
        <f t="shared" si="15"/>
        <v>1679000</v>
      </c>
    </row>
    <row r="453" spans="2:4" ht="15" thickBot="1" x14ac:dyDescent="0.4">
      <c r="B453" s="1" t="s">
        <v>980</v>
      </c>
      <c r="C453" t="str">
        <f t="shared" si="14"/>
        <v>Nissan Patrol 5.6 V8 LE 4WD</v>
      </c>
      <c r="D453">
        <f t="shared" si="15"/>
        <v>1683900</v>
      </c>
    </row>
    <row r="454" spans="2:4" ht="15" thickBot="1" x14ac:dyDescent="0.4">
      <c r="B454" s="1" t="s">
        <v>981</v>
      </c>
      <c r="C454" t="str">
        <f t="shared" si="14"/>
        <v>Land Rover Range Rover Velar D300 Dynamic SE</v>
      </c>
      <c r="D454">
        <f t="shared" si="15"/>
        <v>1690000</v>
      </c>
    </row>
    <row r="455" spans="2:4" ht="15" thickBot="1" x14ac:dyDescent="0.4">
      <c r="B455" s="1" t="s">
        <v>982</v>
      </c>
      <c r="C455" t="str">
        <f t="shared" si="14"/>
        <v>Mercedes-Benz GLE300d 4Matic AMG Line</v>
      </c>
      <c r="D455">
        <f t="shared" si="15"/>
        <v>1699589</v>
      </c>
    </row>
    <row r="456" spans="2:4" ht="15" thickBot="1" x14ac:dyDescent="0.4">
      <c r="B456" s="1" t="s">
        <v>983</v>
      </c>
      <c r="C456" t="str">
        <f t="shared" si="14"/>
        <v>Mercedes-Benz GLE450 4Matic</v>
      </c>
      <c r="D456">
        <f t="shared" si="15"/>
        <v>1701520</v>
      </c>
    </row>
    <row r="457" spans="2:4" ht="15" thickBot="1" x14ac:dyDescent="0.4">
      <c r="B457" s="1" t="s">
        <v>984</v>
      </c>
      <c r="C457" t="str">
        <f t="shared" si="14"/>
        <v>BMW X6 xDrive30d</v>
      </c>
      <c r="D457">
        <f t="shared" si="15"/>
        <v>1704269</v>
      </c>
    </row>
    <row r="458" spans="2:4" ht="15" thickBot="1" x14ac:dyDescent="0.4">
      <c r="B458" s="1" t="s">
        <v>985</v>
      </c>
      <c r="C458" t="str">
        <f t="shared" si="14"/>
        <v>Porsche Cayenne S</v>
      </c>
      <c r="D458">
        <f t="shared" si="15"/>
        <v>1709000</v>
      </c>
    </row>
    <row r="459" spans="2:4" ht="15" thickBot="1" x14ac:dyDescent="0.4">
      <c r="B459" s="1" t="s">
        <v>986</v>
      </c>
      <c r="C459" t="str">
        <f t="shared" si="14"/>
        <v>Audi Q8 55TFSI quattro</v>
      </c>
      <c r="D459">
        <f t="shared" si="15"/>
        <v>1714900</v>
      </c>
    </row>
    <row r="460" spans="2:4" ht="15" thickBot="1" x14ac:dyDescent="0.4">
      <c r="B460" s="1" t="s">
        <v>987</v>
      </c>
      <c r="C460" t="str">
        <f t="shared" si="14"/>
        <v>Jeep Grand Cherokee L 3.6 4x4 Summit Reserve</v>
      </c>
      <c r="D460">
        <f t="shared" si="15"/>
        <v>1724900</v>
      </c>
    </row>
    <row r="461" spans="2:4" ht="15" thickBot="1" x14ac:dyDescent="0.4">
      <c r="B461" s="1" t="s">
        <v>988</v>
      </c>
      <c r="C461" t="str">
        <f t="shared" si="14"/>
        <v>BMW X6 xDrive40i</v>
      </c>
      <c r="D461">
        <f t="shared" si="15"/>
        <v>1730850</v>
      </c>
    </row>
    <row r="462" spans="2:4" ht="15" thickBot="1" x14ac:dyDescent="0.4">
      <c r="B462" s="1" t="s">
        <v>989</v>
      </c>
      <c r="C462" t="str">
        <f t="shared" si="14"/>
        <v>BMW iX xDrive40</v>
      </c>
      <c r="D462">
        <f t="shared" si="15"/>
        <v>1735000</v>
      </c>
    </row>
    <row r="463" spans="2:4" ht="15" thickBot="1" x14ac:dyDescent="0.4">
      <c r="B463" s="1" t="s">
        <v>990</v>
      </c>
      <c r="C463" t="str">
        <f t="shared" si="14"/>
        <v>Land Rover Discovery D300 R-Dynamic SE</v>
      </c>
      <c r="D463">
        <f t="shared" si="15"/>
        <v>1739900</v>
      </c>
    </row>
    <row r="464" spans="2:4" ht="15" thickBot="1" x14ac:dyDescent="0.4">
      <c r="B464" s="1" t="s">
        <v>991</v>
      </c>
      <c r="C464" t="str">
        <f t="shared" si="14"/>
        <v>Porsche Cayenne Platinum Edition</v>
      </c>
      <c r="D464">
        <f t="shared" si="15"/>
        <v>1740000</v>
      </c>
    </row>
    <row r="465" spans="2:4" ht="15" thickBot="1" x14ac:dyDescent="0.4">
      <c r="B465" s="1" t="s">
        <v>992</v>
      </c>
      <c r="C465" t="str">
        <f t="shared" si="14"/>
        <v>Land Rover Discovery P360 R-Dynamic SE</v>
      </c>
      <c r="D465">
        <f t="shared" si="15"/>
        <v>1740700</v>
      </c>
    </row>
    <row r="466" spans="2:4" ht="15" thickBot="1" x14ac:dyDescent="0.4">
      <c r="B466" s="1" t="s">
        <v>993</v>
      </c>
      <c r="C466" t="str">
        <f t="shared" si="14"/>
        <v>Audi e-tron 55 quattro</v>
      </c>
      <c r="D466">
        <f t="shared" si="15"/>
        <v>1745000</v>
      </c>
    </row>
    <row r="467" spans="2:4" ht="15" thickBot="1" x14ac:dyDescent="0.4">
      <c r="B467" s="1" t="s">
        <v>994</v>
      </c>
      <c r="C467" t="str">
        <f t="shared" si="14"/>
        <v>BMW X6 xDrive30d M Sport</v>
      </c>
      <c r="D467">
        <f t="shared" si="15"/>
        <v>1751269</v>
      </c>
    </row>
    <row r="468" spans="2:4" ht="15" thickBot="1" x14ac:dyDescent="0.4">
      <c r="B468" s="1" t="s">
        <v>995</v>
      </c>
      <c r="C468" t="str">
        <f t="shared" si="14"/>
        <v>Land Rover Defender 130 D300 X-Dynamic HSE</v>
      </c>
      <c r="D468">
        <f t="shared" si="15"/>
        <v>1754600</v>
      </c>
    </row>
    <row r="469" spans="2:4" ht="15" thickBot="1" x14ac:dyDescent="0.4">
      <c r="B469" s="1" t="s">
        <v>996</v>
      </c>
      <c r="C469" t="str">
        <f t="shared" si="14"/>
        <v>Land Rover Defender 130 D300 First Edition</v>
      </c>
      <c r="D469">
        <f t="shared" si="15"/>
        <v>1758600</v>
      </c>
    </row>
    <row r="470" spans="2:4" ht="15" thickBot="1" x14ac:dyDescent="0.4">
      <c r="B470" s="1" t="s">
        <v>997</v>
      </c>
      <c r="C470" t="str">
        <f t="shared" si="14"/>
        <v>Porsche Cayenne Coupé Platinum Edition</v>
      </c>
      <c r="D470">
        <f t="shared" si="15"/>
        <v>1760000</v>
      </c>
    </row>
    <row r="471" spans="2:4" ht="15" thickBot="1" x14ac:dyDescent="0.4">
      <c r="B471" s="1" t="s">
        <v>998</v>
      </c>
      <c r="C471" t="str">
        <f t="shared" si="14"/>
        <v>Land Rover Defender 90 D300 X</v>
      </c>
      <c r="D471">
        <f t="shared" si="15"/>
        <v>1761600</v>
      </c>
    </row>
    <row r="472" spans="2:4" ht="15" thickBot="1" x14ac:dyDescent="0.4">
      <c r="B472" s="1" t="s">
        <v>999</v>
      </c>
      <c r="C472" t="str">
        <f t="shared" si="14"/>
        <v>Mercedes-Benz GLE400d 4Matic</v>
      </c>
      <c r="D472">
        <f t="shared" si="15"/>
        <v>1761993</v>
      </c>
    </row>
    <row r="473" spans="2:4" ht="15" thickBot="1" x14ac:dyDescent="0.4">
      <c r="B473" s="1" t="s">
        <v>1000</v>
      </c>
      <c r="C473" t="str">
        <f t="shared" si="14"/>
        <v>Land Rover Defender 90 D300 75 Years / 75th Limited Edition</v>
      </c>
      <c r="D473">
        <f t="shared" si="15"/>
        <v>1762600</v>
      </c>
    </row>
    <row r="474" spans="2:4" ht="15" thickBot="1" x14ac:dyDescent="0.4">
      <c r="B474" s="1" t="s">
        <v>1001</v>
      </c>
      <c r="C474" t="str">
        <f t="shared" si="14"/>
        <v>Mercedes-Benz GLE450 4Matic AMG Line</v>
      </c>
      <c r="D474">
        <f t="shared" si="15"/>
        <v>1777320</v>
      </c>
    </row>
    <row r="475" spans="2:4" ht="15" thickBot="1" x14ac:dyDescent="0.4">
      <c r="B475" s="1" t="s">
        <v>1002</v>
      </c>
      <c r="C475" t="str">
        <f t="shared" si="14"/>
        <v>BMW X6 xDrive40i M Sport</v>
      </c>
      <c r="D475">
        <f t="shared" si="15"/>
        <v>1777850</v>
      </c>
    </row>
    <row r="476" spans="2:4" ht="15" thickBot="1" x14ac:dyDescent="0.4">
      <c r="B476" s="1" t="s">
        <v>1003</v>
      </c>
      <c r="C476" t="str">
        <f t="shared" si="14"/>
        <v>Land Rover Range Rover Velar P340 Dynamic HSE</v>
      </c>
      <c r="D476">
        <f t="shared" si="15"/>
        <v>1788000</v>
      </c>
    </row>
    <row r="477" spans="2:4" ht="15" thickBot="1" x14ac:dyDescent="0.4">
      <c r="B477" s="1" t="s">
        <v>1004</v>
      </c>
      <c r="C477" t="str">
        <f t="shared" si="14"/>
        <v>Porsche Cayenne S Coupé</v>
      </c>
      <c r="D477">
        <f t="shared" si="15"/>
        <v>1790000</v>
      </c>
    </row>
    <row r="478" spans="2:4" ht="15" thickBot="1" x14ac:dyDescent="0.4">
      <c r="B478" s="1" t="s">
        <v>1005</v>
      </c>
      <c r="C478" t="str">
        <f t="shared" si="14"/>
        <v>Land Rover Defender 130 P400 X-Dynamic HSE</v>
      </c>
      <c r="D478">
        <f t="shared" si="15"/>
        <v>1798500</v>
      </c>
    </row>
    <row r="479" spans="2:4" ht="15" thickBot="1" x14ac:dyDescent="0.4">
      <c r="B479" s="1" t="s">
        <v>1006</v>
      </c>
      <c r="C479" t="str">
        <f t="shared" si="14"/>
        <v>Land Rover Defender 90 P400 X</v>
      </c>
      <c r="D479">
        <f t="shared" si="15"/>
        <v>1799700</v>
      </c>
    </row>
    <row r="480" spans="2:4" ht="15" thickBot="1" x14ac:dyDescent="0.4">
      <c r="B480" s="1" t="s">
        <v>1007</v>
      </c>
      <c r="C480" t="str">
        <f t="shared" si="14"/>
        <v>Land Rover Defender 110 D300 75 Years / 75th Limited Edition</v>
      </c>
      <c r="D480">
        <f t="shared" si="15"/>
        <v>1801600</v>
      </c>
    </row>
    <row r="481" spans="2:4" ht="15" thickBot="1" x14ac:dyDescent="0.4">
      <c r="B481" s="1" t="s">
        <v>1008</v>
      </c>
      <c r="C481" t="str">
        <f t="shared" si="14"/>
        <v>Land Rover Defender 130 P400 First Edition</v>
      </c>
      <c r="D481">
        <f t="shared" si="15"/>
        <v>1803500</v>
      </c>
    </row>
    <row r="482" spans="2:4" ht="15" thickBot="1" x14ac:dyDescent="0.4">
      <c r="B482" s="1" t="s">
        <v>1009</v>
      </c>
      <c r="C482" t="str">
        <f t="shared" si="14"/>
        <v>Land Rover Range Rover Velar D300 Dynamic HSE</v>
      </c>
      <c r="D482">
        <f t="shared" si="15"/>
        <v>1809000</v>
      </c>
    </row>
    <row r="483" spans="2:4" ht="15" thickBot="1" x14ac:dyDescent="0.4">
      <c r="B483" s="1" t="s">
        <v>1010</v>
      </c>
      <c r="C483" t="str">
        <f t="shared" si="14"/>
        <v>Land Rover Defender 110 P400e X-Dynamic SE</v>
      </c>
      <c r="D483">
        <f t="shared" si="15"/>
        <v>1811300</v>
      </c>
    </row>
    <row r="484" spans="2:4" ht="15" thickBot="1" x14ac:dyDescent="0.4">
      <c r="B484" s="1" t="s">
        <v>1011</v>
      </c>
      <c r="C484" t="str">
        <f t="shared" si="14"/>
        <v>Land Rover Defender 90 P400 75 Years / 75th Limited Edition</v>
      </c>
      <c r="D484">
        <f t="shared" si="15"/>
        <v>1811700</v>
      </c>
    </row>
    <row r="485" spans="2:4" ht="15" thickBot="1" x14ac:dyDescent="0.4">
      <c r="B485" s="1" t="s">
        <v>1012</v>
      </c>
      <c r="C485" t="str">
        <f t="shared" si="14"/>
        <v>Jaguar F-Pace P400e AWD R-Dynamic SE</v>
      </c>
      <c r="D485">
        <f t="shared" si="15"/>
        <v>1815000</v>
      </c>
    </row>
    <row r="486" spans="2:4" ht="15" thickBot="1" x14ac:dyDescent="0.4">
      <c r="B486" s="1" t="s">
        <v>1013</v>
      </c>
      <c r="C486" t="str">
        <f t="shared" si="14"/>
        <v>Land Rover Defender 110 D300 X</v>
      </c>
      <c r="D486">
        <f t="shared" si="15"/>
        <v>1826600</v>
      </c>
    </row>
    <row r="487" spans="2:4" ht="15" thickBot="1" x14ac:dyDescent="0.4">
      <c r="B487" s="1" t="s">
        <v>1014</v>
      </c>
      <c r="C487" t="str">
        <f t="shared" si="14"/>
        <v>Mercedes-Benz GLE400d 4Matic AMG Line</v>
      </c>
      <c r="D487">
        <f t="shared" si="15"/>
        <v>1837793</v>
      </c>
    </row>
    <row r="488" spans="2:4" ht="15" thickBot="1" x14ac:dyDescent="0.4">
      <c r="B488" s="1" t="s">
        <v>1015</v>
      </c>
      <c r="C488" t="str">
        <f t="shared" si="14"/>
        <v>Land Rover Defender 110 P400 75 Years / 75th Limited Edition</v>
      </c>
      <c r="D488">
        <f t="shared" si="15"/>
        <v>1845700</v>
      </c>
    </row>
    <row r="489" spans="2:4" ht="15" thickBot="1" x14ac:dyDescent="0.4">
      <c r="B489" s="1" t="s">
        <v>1016</v>
      </c>
      <c r="C489" t="str">
        <f t="shared" si="14"/>
        <v>Porsche Cayenne GTS</v>
      </c>
      <c r="D489">
        <f t="shared" si="15"/>
        <v>1851000</v>
      </c>
    </row>
    <row r="490" spans="2:4" ht="15" thickBot="1" x14ac:dyDescent="0.4">
      <c r="B490" s="1" t="s">
        <v>1017</v>
      </c>
      <c r="C490" t="str">
        <f t="shared" si="14"/>
        <v>Land Rover Discovery D300 R-Dynamic HSE</v>
      </c>
      <c r="D490">
        <f t="shared" si="15"/>
        <v>1860900</v>
      </c>
    </row>
    <row r="491" spans="2:4" ht="15" thickBot="1" x14ac:dyDescent="0.4">
      <c r="B491" s="1" t="s">
        <v>1018</v>
      </c>
      <c r="C491" t="str">
        <f t="shared" si="14"/>
        <v>Land Rover Discovery P360 R-Dynamic HSE</v>
      </c>
      <c r="D491">
        <f t="shared" si="15"/>
        <v>1861700</v>
      </c>
    </row>
    <row r="492" spans="2:4" ht="15" thickBot="1" x14ac:dyDescent="0.4">
      <c r="B492" s="1" t="s">
        <v>1019</v>
      </c>
      <c r="C492" t="str">
        <f t="shared" si="14"/>
        <v>Jaguar F-Pace P400e AWD R-Dynamic HSE</v>
      </c>
      <c r="D492">
        <f t="shared" si="15"/>
        <v>1869000</v>
      </c>
    </row>
    <row r="493" spans="2:4" ht="15" thickBot="1" x14ac:dyDescent="0.4">
      <c r="B493" s="1" t="s">
        <v>1020</v>
      </c>
      <c r="C493" t="str">
        <f t="shared" si="14"/>
        <v>Land Rover Defender 110 P400e X-Dynamic HSE</v>
      </c>
      <c r="D493">
        <f t="shared" si="15"/>
        <v>1874300</v>
      </c>
    </row>
    <row r="494" spans="2:4" ht="15" thickBot="1" x14ac:dyDescent="0.4">
      <c r="B494" s="1" t="s">
        <v>1021</v>
      </c>
      <c r="C494" t="str">
        <f t="shared" si="14"/>
        <v>Land Rover Defender 110 P400 X</v>
      </c>
      <c r="D494">
        <f t="shared" si="15"/>
        <v>1875700</v>
      </c>
    </row>
    <row r="495" spans="2:4" ht="15" thickBot="1" x14ac:dyDescent="0.4">
      <c r="B495" s="1" t="s">
        <v>1022</v>
      </c>
      <c r="C495" t="str">
        <f t="shared" si="14"/>
        <v>Toyota Land Cruiser 300 3.3D ZX</v>
      </c>
      <c r="D495">
        <f t="shared" si="15"/>
        <v>1892000</v>
      </c>
    </row>
    <row r="496" spans="2:4" ht="15" thickBot="1" x14ac:dyDescent="0.4">
      <c r="B496" s="1" t="s">
        <v>1023</v>
      </c>
      <c r="C496" t="str">
        <f t="shared" si="14"/>
        <v>Land Rover Range Rover Velar P400e Dynamic SE</v>
      </c>
      <c r="D496">
        <f t="shared" si="15"/>
        <v>1905000</v>
      </c>
    </row>
    <row r="497" spans="2:4" ht="15" thickBot="1" x14ac:dyDescent="0.4">
      <c r="B497" s="1" t="s">
        <v>1024</v>
      </c>
      <c r="C497" t="str">
        <f t="shared" si="14"/>
        <v>Porsche Cayenne S Coupé Platinum Edition</v>
      </c>
      <c r="D497">
        <f t="shared" si="15"/>
        <v>1912000</v>
      </c>
    </row>
    <row r="498" spans="2:4" ht="15" thickBot="1" x14ac:dyDescent="0.4">
      <c r="B498" s="1" t="s">
        <v>1025</v>
      </c>
      <c r="C498" t="str">
        <f t="shared" si="14"/>
        <v>Land Rover Discovery D300 Metropolitan Edition</v>
      </c>
      <c r="D498">
        <f t="shared" si="15"/>
        <v>1916900</v>
      </c>
    </row>
    <row r="499" spans="2:4" ht="15" thickBot="1" x14ac:dyDescent="0.4">
      <c r="B499" s="1" t="s">
        <v>1026</v>
      </c>
      <c r="C499" t="str">
        <f t="shared" si="14"/>
        <v>Land Rover Discovery P360 Metropolitan Edition</v>
      </c>
      <c r="D499">
        <f t="shared" si="15"/>
        <v>1917700</v>
      </c>
    </row>
    <row r="500" spans="2:4" ht="15" thickBot="1" x14ac:dyDescent="0.4">
      <c r="B500" s="1" t="s">
        <v>1027</v>
      </c>
      <c r="C500" t="str">
        <f t="shared" si="14"/>
        <v>Porsche Cayenne GTS Coupé</v>
      </c>
      <c r="D500">
        <f t="shared" si="15"/>
        <v>1922000</v>
      </c>
    </row>
    <row r="501" spans="2:4" ht="15" thickBot="1" x14ac:dyDescent="0.4">
      <c r="B501" s="1" t="s">
        <v>1028</v>
      </c>
      <c r="C501" t="str">
        <f t="shared" si="14"/>
        <v>Land Rover Defender 130 D300 X</v>
      </c>
      <c r="D501">
        <f t="shared" si="15"/>
        <v>1924600</v>
      </c>
    </row>
    <row r="502" spans="2:4" ht="15" thickBot="1" x14ac:dyDescent="0.4">
      <c r="B502" s="1" t="s">
        <v>1029</v>
      </c>
      <c r="C502" t="str">
        <f t="shared" si="14"/>
        <v>Toyota Land Cruiser 300 3.5T ZX</v>
      </c>
      <c r="D502">
        <f t="shared" si="15"/>
        <v>1925800</v>
      </c>
    </row>
    <row r="503" spans="2:4" ht="15" thickBot="1" x14ac:dyDescent="0.4">
      <c r="B503" s="1" t="s">
        <v>1030</v>
      </c>
      <c r="C503" t="str">
        <f t="shared" si="14"/>
        <v>Alfa Romeo Stelvio Quadrifoglio Q4</v>
      </c>
      <c r="D503">
        <f t="shared" si="15"/>
        <v>1936900</v>
      </c>
    </row>
    <row r="504" spans="2:4" ht="15" thickBot="1" x14ac:dyDescent="0.4">
      <c r="B504" s="1" t="s">
        <v>1031</v>
      </c>
      <c r="C504" t="str">
        <f t="shared" si="14"/>
        <v>Toyota Land Cruiser 300 3.3D GR-Sport</v>
      </c>
      <c r="D504">
        <f t="shared" si="15"/>
        <v>1941700</v>
      </c>
    </row>
    <row r="505" spans="2:4" ht="15" thickBot="1" x14ac:dyDescent="0.4">
      <c r="B505" s="1" t="s">
        <v>1032</v>
      </c>
      <c r="C505" t="str">
        <f t="shared" si="14"/>
        <v>Porsche Cayenne e-hybrid</v>
      </c>
      <c r="D505">
        <f t="shared" si="15"/>
        <v>1949000</v>
      </c>
    </row>
    <row r="506" spans="2:4" ht="15" thickBot="1" x14ac:dyDescent="0.4">
      <c r="B506" s="1" t="s">
        <v>1033</v>
      </c>
      <c r="C506" t="str">
        <f t="shared" si="14"/>
        <v>Land Rover Defender 110 P400e X</v>
      </c>
      <c r="D506">
        <f t="shared" si="15"/>
        <v>1949300</v>
      </c>
    </row>
    <row r="507" spans="2:4" ht="15" thickBot="1" x14ac:dyDescent="0.4">
      <c r="B507" s="1" t="s">
        <v>1034</v>
      </c>
      <c r="C507" t="str">
        <f t="shared" si="14"/>
        <v>Maserati Grecale Modena</v>
      </c>
      <c r="D507">
        <f t="shared" si="15"/>
        <v>1950000</v>
      </c>
    </row>
    <row r="508" spans="2:4" ht="15" thickBot="1" x14ac:dyDescent="0.4">
      <c r="B508" s="1" t="s">
        <v>1035</v>
      </c>
      <c r="C508" t="str">
        <f t="shared" si="14"/>
        <v>BMW X7 xDrive40d Design Pure Excellence</v>
      </c>
      <c r="D508">
        <f t="shared" si="15"/>
        <v>1962457</v>
      </c>
    </row>
    <row r="509" spans="2:4" ht="15" thickBot="1" x14ac:dyDescent="0.4">
      <c r="B509" s="1" t="s">
        <v>1036</v>
      </c>
      <c r="C509" t="str">
        <f t="shared" si="14"/>
        <v>Land Rover Defender 130 P400 X</v>
      </c>
      <c r="D509">
        <f t="shared" si="15"/>
        <v>1974500</v>
      </c>
    </row>
    <row r="510" spans="2:4" ht="15" thickBot="1" x14ac:dyDescent="0.4">
      <c r="B510" s="1" t="s">
        <v>1037</v>
      </c>
      <c r="C510" t="str">
        <f t="shared" si="14"/>
        <v>Toyota Land Cruiser 300 3.5T GR-Sport</v>
      </c>
      <c r="D510">
        <f t="shared" si="15"/>
        <v>1974900</v>
      </c>
    </row>
    <row r="511" spans="2:4" ht="15" thickBot="1" x14ac:dyDescent="0.4">
      <c r="B511" s="1" t="s">
        <v>1038</v>
      </c>
      <c r="C511" t="str">
        <f t="shared" si="14"/>
        <v>BMW X5 M50d</v>
      </c>
      <c r="D511">
        <f t="shared" si="15"/>
        <v>1984573</v>
      </c>
    </row>
    <row r="512" spans="2:4" ht="15" thickBot="1" x14ac:dyDescent="0.4">
      <c r="B512" s="1" t="s">
        <v>1039</v>
      </c>
      <c r="C512" t="str">
        <f t="shared" si="14"/>
        <v>Jaguar F-Pace SVR</v>
      </c>
      <c r="D512">
        <f t="shared" si="15"/>
        <v>1995000</v>
      </c>
    </row>
    <row r="513" spans="2:4" ht="15" thickBot="1" x14ac:dyDescent="0.4">
      <c r="B513" s="1" t="s">
        <v>1040</v>
      </c>
      <c r="C513" t="str">
        <f t="shared" si="14"/>
        <v>BMW X5 M50i</v>
      </c>
      <c r="D513">
        <f t="shared" si="15"/>
        <v>1995502</v>
      </c>
    </row>
    <row r="514" spans="2:4" ht="15" thickBot="1" x14ac:dyDescent="0.4">
      <c r="B514" s="1" t="s">
        <v>1041</v>
      </c>
      <c r="C514" t="str">
        <f t="shared" si="14"/>
        <v>Land Rover Range Rover Velar P400e Dynamic HSE</v>
      </c>
      <c r="D514">
        <f t="shared" si="15"/>
        <v>2008000</v>
      </c>
    </row>
    <row r="515" spans="2:4" ht="15" thickBot="1" x14ac:dyDescent="0.4">
      <c r="B515" s="1" t="s">
        <v>1042</v>
      </c>
      <c r="C515" t="str">
        <f t="shared" ref="C515:C578" si="16">TRIM(LEFT(B515, FIND("©",SUBSTITUTE(B515,"R","©",LEN(B515)-LEN(SUBSTITUTE(B515,"R",""))))-1))</f>
        <v>Land Rover Range Rover Sport D350 Dynamic S</v>
      </c>
      <c r="D515">
        <f t="shared" ref="D515:D578" si="17">--SUBSTITUTE(TRIM(RIGHT(B515, LEN(B515) - FIND("©",SUBSTITUTE(B515,"R","©",LEN(B515)-LEN(SUBSTITUTE(B515,"R","")))))), " ", "")</f>
        <v>2020100</v>
      </c>
    </row>
    <row r="516" spans="2:4" ht="15" thickBot="1" x14ac:dyDescent="0.4">
      <c r="B516" s="1" t="s">
        <v>1043</v>
      </c>
      <c r="C516" t="str">
        <f t="shared" si="16"/>
        <v>Land Rover Range Rover Sport P400 Dynamic S</v>
      </c>
      <c r="D516">
        <f t="shared" si="17"/>
        <v>2023600</v>
      </c>
    </row>
    <row r="517" spans="2:4" ht="15" thickBot="1" x14ac:dyDescent="0.4">
      <c r="B517" s="1" t="s">
        <v>1044</v>
      </c>
      <c r="C517" t="str">
        <f t="shared" si="16"/>
        <v>BMW X7 xDrive40d M Sport</v>
      </c>
      <c r="D517">
        <f t="shared" si="17"/>
        <v>2037457</v>
      </c>
    </row>
    <row r="518" spans="2:4" ht="15" thickBot="1" x14ac:dyDescent="0.4">
      <c r="B518" s="1" t="s">
        <v>1045</v>
      </c>
      <c r="C518" t="str">
        <f t="shared" si="16"/>
        <v>Mercedes-Benz GLS400d 4Matic</v>
      </c>
      <c r="D518">
        <f t="shared" si="17"/>
        <v>2041243</v>
      </c>
    </row>
    <row r="519" spans="2:4" ht="15" thickBot="1" x14ac:dyDescent="0.4">
      <c r="B519" s="1" t="s">
        <v>1046</v>
      </c>
      <c r="C519" t="str">
        <f t="shared" si="16"/>
        <v>Audi e-tron 55 quattro S line</v>
      </c>
      <c r="D519">
        <f t="shared" si="17"/>
        <v>2045000</v>
      </c>
    </row>
    <row r="520" spans="2:4" ht="15" thickBot="1" x14ac:dyDescent="0.4">
      <c r="B520" s="1" t="s">
        <v>1047</v>
      </c>
      <c r="C520" t="str">
        <f t="shared" si="16"/>
        <v>Mercedes-Benz GLE400d Coupé 4Matic AMG Line</v>
      </c>
      <c r="D520">
        <f t="shared" si="17"/>
        <v>2064107</v>
      </c>
    </row>
    <row r="521" spans="2:4" ht="15" thickBot="1" x14ac:dyDescent="0.4">
      <c r="B521" s="1" t="s">
        <v>1048</v>
      </c>
      <c r="C521" t="str">
        <f t="shared" si="16"/>
        <v>BMW X3 M competition</v>
      </c>
      <c r="D521">
        <f t="shared" si="17"/>
        <v>2072618</v>
      </c>
    </row>
    <row r="522" spans="2:4" ht="15" thickBot="1" x14ac:dyDescent="0.4">
      <c r="B522" s="1" t="s">
        <v>1049</v>
      </c>
      <c r="C522" t="str">
        <f t="shared" si="16"/>
        <v>Land Rover Range Rover Sport D350 Dynamic SE</v>
      </c>
      <c r="D522">
        <f t="shared" si="17"/>
        <v>2081000</v>
      </c>
    </row>
    <row r="523" spans="2:4" ht="15" thickBot="1" x14ac:dyDescent="0.4">
      <c r="B523" s="1" t="s">
        <v>1050</v>
      </c>
      <c r="C523" t="str">
        <f t="shared" si="16"/>
        <v>Land Rover Range Rover Sport P400 Dynamic SE</v>
      </c>
      <c r="D523">
        <f t="shared" si="17"/>
        <v>2084500</v>
      </c>
    </row>
    <row r="524" spans="2:4" ht="15" thickBot="1" x14ac:dyDescent="0.4">
      <c r="B524" s="1" t="s">
        <v>1051</v>
      </c>
      <c r="C524" t="str">
        <f t="shared" si="16"/>
        <v>Porsche Cayenne e-hybrid Platinum Edition</v>
      </c>
      <c r="D524">
        <f t="shared" si="17"/>
        <v>2089000</v>
      </c>
    </row>
    <row r="525" spans="2:4" ht="15" thickBot="1" x14ac:dyDescent="0.4">
      <c r="B525" s="1" t="s">
        <v>1052</v>
      </c>
      <c r="C525" t="str">
        <f t="shared" si="16"/>
        <v>BMW X6 M50d</v>
      </c>
      <c r="D525">
        <f t="shared" si="17"/>
        <v>2104573</v>
      </c>
    </row>
    <row r="526" spans="2:4" ht="15" thickBot="1" x14ac:dyDescent="0.4">
      <c r="B526" s="1" t="s">
        <v>1053</v>
      </c>
      <c r="C526" t="str">
        <f t="shared" si="16"/>
        <v>Audi e-tron Sportback 55 quattro S line</v>
      </c>
      <c r="D526">
        <f t="shared" si="17"/>
        <v>2115000</v>
      </c>
    </row>
    <row r="527" spans="2:4" ht="15" thickBot="1" x14ac:dyDescent="0.4">
      <c r="B527" s="1" t="s">
        <v>1054</v>
      </c>
      <c r="C527" t="str">
        <f t="shared" si="16"/>
        <v>BMW X6 M50i</v>
      </c>
      <c r="D527">
        <f t="shared" si="17"/>
        <v>2115502</v>
      </c>
    </row>
    <row r="528" spans="2:4" ht="15" thickBot="1" x14ac:dyDescent="0.4">
      <c r="B528" s="1" t="s">
        <v>1055</v>
      </c>
      <c r="C528" t="str">
        <f t="shared" si="16"/>
        <v>Porsche Cayenne e-hybrid Coupé Platinum Edition</v>
      </c>
      <c r="D528">
        <f t="shared" si="17"/>
        <v>2119000</v>
      </c>
    </row>
    <row r="529" spans="2:4" ht="15" thickBot="1" x14ac:dyDescent="0.4">
      <c r="B529" s="1" t="s">
        <v>1056</v>
      </c>
      <c r="C529" t="str">
        <f t="shared" si="16"/>
        <v>BMW X4 M competition</v>
      </c>
      <c r="D529">
        <f t="shared" si="17"/>
        <v>2162618</v>
      </c>
    </row>
    <row r="530" spans="2:4" ht="15" thickBot="1" x14ac:dyDescent="0.4">
      <c r="B530" s="1" t="s">
        <v>1057</v>
      </c>
      <c r="C530" t="str">
        <f t="shared" si="16"/>
        <v>Mercedes-Benz GLS400d 4Matic AMG Line</v>
      </c>
      <c r="D530">
        <f t="shared" si="17"/>
        <v>2167343</v>
      </c>
    </row>
    <row r="531" spans="2:4" ht="15" thickBot="1" x14ac:dyDescent="0.4">
      <c r="B531" s="1" t="s">
        <v>1058</v>
      </c>
      <c r="C531" t="str">
        <f t="shared" si="16"/>
        <v>Maserati Levante GT</v>
      </c>
      <c r="D531">
        <f t="shared" si="17"/>
        <v>2175000</v>
      </c>
    </row>
    <row r="532" spans="2:4" ht="15" thickBot="1" x14ac:dyDescent="0.4">
      <c r="B532" s="1" t="s">
        <v>1059</v>
      </c>
      <c r="C532" t="str">
        <f t="shared" si="16"/>
        <v>Mercedes-AMG GLE53 4Matic+</v>
      </c>
      <c r="D532">
        <f t="shared" si="17"/>
        <v>2180414</v>
      </c>
    </row>
    <row r="533" spans="2:4" ht="15" thickBot="1" x14ac:dyDescent="0.4">
      <c r="B533" s="1" t="s">
        <v>1060</v>
      </c>
      <c r="C533" t="str">
        <f t="shared" si="16"/>
        <v>Land Rover Range Rover Sport D350 Dynamic HSE</v>
      </c>
      <c r="D533">
        <f t="shared" si="17"/>
        <v>2208100</v>
      </c>
    </row>
    <row r="534" spans="2:4" ht="15" thickBot="1" x14ac:dyDescent="0.4">
      <c r="B534" s="1" t="s">
        <v>1061</v>
      </c>
      <c r="C534" t="str">
        <f t="shared" si="16"/>
        <v>Mercedes-AMG GLE53 Coupé 4Matic+</v>
      </c>
      <c r="D534">
        <f t="shared" si="17"/>
        <v>2218611</v>
      </c>
    </row>
    <row r="535" spans="2:4" ht="15" thickBot="1" x14ac:dyDescent="0.4">
      <c r="B535" s="1" t="s">
        <v>1062</v>
      </c>
      <c r="C535" t="str">
        <f t="shared" si="16"/>
        <v>Jaguar I-Pace EV400 AWD R-Dynamic HSE</v>
      </c>
      <c r="D535">
        <f t="shared" si="17"/>
        <v>2249000</v>
      </c>
    </row>
    <row r="536" spans="2:4" ht="15" thickBot="1" x14ac:dyDescent="0.4">
      <c r="B536" s="1" t="s">
        <v>1063</v>
      </c>
      <c r="C536" t="str">
        <f t="shared" si="16"/>
        <v>BMW iX xDrive50</v>
      </c>
      <c r="D536">
        <f t="shared" si="17"/>
        <v>2270000</v>
      </c>
    </row>
    <row r="537" spans="2:4" ht="15" thickBot="1" x14ac:dyDescent="0.4">
      <c r="B537" s="1" t="s">
        <v>1064</v>
      </c>
      <c r="C537" t="str">
        <f t="shared" si="16"/>
        <v>Land Rover Range Rover Sport D350 Autobiography</v>
      </c>
      <c r="D537">
        <f t="shared" si="17"/>
        <v>2271200</v>
      </c>
    </row>
    <row r="538" spans="2:4" ht="15" thickBot="1" x14ac:dyDescent="0.4">
      <c r="B538" s="1" t="s">
        <v>1065</v>
      </c>
      <c r="C538" t="str">
        <f t="shared" si="16"/>
        <v>Mercedes-AMG GLC63 S Coupé 4Matic+</v>
      </c>
      <c r="D538">
        <f t="shared" si="17"/>
        <v>2290522</v>
      </c>
    </row>
    <row r="539" spans="2:4" ht="15" thickBot="1" x14ac:dyDescent="0.4">
      <c r="B539" s="1" t="s">
        <v>1066</v>
      </c>
      <c r="C539" t="str">
        <f t="shared" si="16"/>
        <v>Land Rover Range Rover Sport D350 First Edition</v>
      </c>
      <c r="D539">
        <f t="shared" si="17"/>
        <v>2300600</v>
      </c>
    </row>
    <row r="540" spans="2:4" ht="15" thickBot="1" x14ac:dyDescent="0.4">
      <c r="B540" s="1" t="s">
        <v>1067</v>
      </c>
      <c r="C540" t="str">
        <f t="shared" si="16"/>
        <v>BMW X7 M60i xDrive</v>
      </c>
      <c r="D540">
        <f t="shared" si="17"/>
        <v>2316574</v>
      </c>
    </row>
    <row r="541" spans="2:4" ht="15" thickBot="1" x14ac:dyDescent="0.4">
      <c r="B541" s="1" t="s">
        <v>1068</v>
      </c>
      <c r="C541" t="str">
        <f t="shared" si="16"/>
        <v>Mercedes-Benz GLS580 4Matic</v>
      </c>
      <c r="D541">
        <f t="shared" si="17"/>
        <v>2338552</v>
      </c>
    </row>
    <row r="542" spans="2:4" ht="15" thickBot="1" x14ac:dyDescent="0.4">
      <c r="B542" s="1" t="s">
        <v>1069</v>
      </c>
      <c r="C542" t="str">
        <f t="shared" si="16"/>
        <v>Lexus LX 500d</v>
      </c>
      <c r="D542">
        <f t="shared" si="17"/>
        <v>2341000</v>
      </c>
    </row>
    <row r="543" spans="2:4" ht="15" thickBot="1" x14ac:dyDescent="0.4">
      <c r="B543" s="1" t="s">
        <v>1070</v>
      </c>
      <c r="C543" t="str">
        <f t="shared" si="16"/>
        <v>Lexus LX 500d F Sport</v>
      </c>
      <c r="D543">
        <f t="shared" si="17"/>
        <v>2350200</v>
      </c>
    </row>
    <row r="544" spans="2:4" ht="15" thickBot="1" x14ac:dyDescent="0.4">
      <c r="B544" s="1" t="s">
        <v>1071</v>
      </c>
      <c r="C544" t="str">
        <f t="shared" si="16"/>
        <v>Lexus LX 600 F Sport</v>
      </c>
      <c r="D544">
        <f t="shared" si="17"/>
        <v>2383800</v>
      </c>
    </row>
    <row r="545" spans="2:4" ht="15" thickBot="1" x14ac:dyDescent="0.4">
      <c r="B545" s="1" t="s">
        <v>1072</v>
      </c>
      <c r="C545" t="str">
        <f t="shared" si="16"/>
        <v>Lexus LX 600</v>
      </c>
      <c r="D545">
        <f t="shared" si="17"/>
        <v>2398000</v>
      </c>
    </row>
    <row r="546" spans="2:4" ht="15" thickBot="1" x14ac:dyDescent="0.4">
      <c r="B546" s="1" t="s">
        <v>1073</v>
      </c>
      <c r="C546" t="str">
        <f t="shared" si="16"/>
        <v>Audi e-tron S Sportback quattro</v>
      </c>
      <c r="D546">
        <f t="shared" si="17"/>
        <v>2425000</v>
      </c>
    </row>
    <row r="547" spans="2:4" ht="15" thickBot="1" x14ac:dyDescent="0.4">
      <c r="B547" s="1" t="s">
        <v>1074</v>
      </c>
      <c r="C547" t="str">
        <f t="shared" si="16"/>
        <v>Mercedes-Benz GLS580 4Matic AMG Line</v>
      </c>
      <c r="D547">
        <f t="shared" si="17"/>
        <v>2435652</v>
      </c>
    </row>
    <row r="548" spans="2:4" ht="15" thickBot="1" x14ac:dyDescent="0.4">
      <c r="B548" s="1" t="s">
        <v>1075</v>
      </c>
      <c r="C548" t="str">
        <f t="shared" si="16"/>
        <v>Land Rover Defender 90 V8</v>
      </c>
      <c r="D548">
        <f t="shared" si="17"/>
        <v>2528600</v>
      </c>
    </row>
    <row r="549" spans="2:4" ht="15" thickBot="1" x14ac:dyDescent="0.4">
      <c r="B549" s="1" t="s">
        <v>1076</v>
      </c>
      <c r="C549" t="str">
        <f t="shared" si="16"/>
        <v>Maserati Grecale Trofeo</v>
      </c>
      <c r="D549">
        <f t="shared" si="17"/>
        <v>2550000</v>
      </c>
    </row>
    <row r="550" spans="2:4" ht="15" thickBot="1" x14ac:dyDescent="0.4">
      <c r="B550" s="1" t="s">
        <v>1077</v>
      </c>
      <c r="C550" t="str">
        <f t="shared" si="16"/>
        <v>Audi RSQ8 quattro</v>
      </c>
      <c r="D550">
        <f t="shared" si="17"/>
        <v>2625000</v>
      </c>
    </row>
    <row r="551" spans="2:4" ht="15" thickBot="1" x14ac:dyDescent="0.4">
      <c r="B551" s="1" t="s">
        <v>1078</v>
      </c>
      <c r="C551" t="str">
        <f t="shared" si="16"/>
        <v>Land Rover Defender 90 V8 Carpathian Edition</v>
      </c>
      <c r="D551">
        <f t="shared" si="17"/>
        <v>2628600</v>
      </c>
    </row>
    <row r="552" spans="2:4" ht="15" thickBot="1" x14ac:dyDescent="0.4">
      <c r="B552" s="1" t="s">
        <v>1079</v>
      </c>
      <c r="C552" t="str">
        <f t="shared" si="16"/>
        <v>Porsche Cayenne turbo</v>
      </c>
      <c r="D552">
        <f t="shared" si="17"/>
        <v>2635000</v>
      </c>
    </row>
    <row r="553" spans="2:4" ht="15" thickBot="1" x14ac:dyDescent="0.4">
      <c r="B553" s="1" t="s">
        <v>1080</v>
      </c>
      <c r="C553" t="str">
        <f t="shared" si="16"/>
        <v>Land Rover Defender 110 V8</v>
      </c>
      <c r="D553">
        <f t="shared" si="17"/>
        <v>2648600</v>
      </c>
    </row>
    <row r="554" spans="2:4" ht="15" thickBot="1" x14ac:dyDescent="0.4">
      <c r="B554" s="1" t="s">
        <v>1081</v>
      </c>
      <c r="C554" t="str">
        <f t="shared" si="16"/>
        <v>Porsche Cayenne turbo Coupé</v>
      </c>
      <c r="D554">
        <f t="shared" si="17"/>
        <v>2706000</v>
      </c>
    </row>
    <row r="555" spans="2:4" ht="15" thickBot="1" x14ac:dyDescent="0.4">
      <c r="B555" s="1" t="s">
        <v>1082</v>
      </c>
      <c r="C555" t="str">
        <f t="shared" si="16"/>
        <v>Land Rover Defender 110 V8 Carpathian Edition</v>
      </c>
      <c r="D555">
        <f t="shared" si="17"/>
        <v>2749600</v>
      </c>
    </row>
    <row r="556" spans="2:4" ht="15" thickBot="1" x14ac:dyDescent="0.4">
      <c r="B556" s="1" t="s">
        <v>1083</v>
      </c>
      <c r="C556" t="str">
        <f t="shared" si="16"/>
        <v>Land Rover Range Rover Sport P510e Autobiography</v>
      </c>
      <c r="D556">
        <f t="shared" si="17"/>
        <v>2780600</v>
      </c>
    </row>
    <row r="557" spans="2:4" ht="15" thickBot="1" x14ac:dyDescent="0.4">
      <c r="B557" s="1" t="s">
        <v>1084</v>
      </c>
      <c r="C557" t="str">
        <f t="shared" si="16"/>
        <v>Lexus LX 600 VIP</v>
      </c>
      <c r="D557">
        <f t="shared" si="17"/>
        <v>2787500</v>
      </c>
    </row>
    <row r="558" spans="2:4" ht="15" thickBot="1" x14ac:dyDescent="0.4">
      <c r="B558" s="1" t="s">
        <v>1085</v>
      </c>
      <c r="C558" t="str">
        <f t="shared" si="16"/>
        <v>Land Rover Range Rover Sport P510e First Edition</v>
      </c>
      <c r="D558">
        <f t="shared" si="17"/>
        <v>2810100</v>
      </c>
    </row>
    <row r="559" spans="2:4" ht="15" thickBot="1" x14ac:dyDescent="0.4">
      <c r="B559" s="1" t="s">
        <v>1086</v>
      </c>
      <c r="C559" t="str">
        <f t="shared" si="16"/>
        <v>Land Rover Range Rover D350 SE</v>
      </c>
      <c r="D559">
        <f t="shared" si="17"/>
        <v>2848600</v>
      </c>
    </row>
    <row r="560" spans="2:4" ht="15" thickBot="1" x14ac:dyDescent="0.4">
      <c r="B560" s="1" t="s">
        <v>1087</v>
      </c>
      <c r="C560" t="str">
        <f t="shared" si="16"/>
        <v>Maserati Levante Modena</v>
      </c>
      <c r="D560">
        <f t="shared" si="17"/>
        <v>2875000</v>
      </c>
    </row>
    <row r="561" spans="2:4" ht="15" thickBot="1" x14ac:dyDescent="0.4">
      <c r="B561" s="1" t="s">
        <v>1088</v>
      </c>
      <c r="C561" t="str">
        <f t="shared" si="16"/>
        <v>Mercedes-Benz G400d AMG Line</v>
      </c>
      <c r="D561">
        <f t="shared" si="17"/>
        <v>2893333</v>
      </c>
    </row>
    <row r="562" spans="2:4" ht="15" thickBot="1" x14ac:dyDescent="0.4">
      <c r="B562" s="1" t="s">
        <v>1089</v>
      </c>
      <c r="C562" t="str">
        <f t="shared" si="16"/>
        <v>BMW X5 M competition</v>
      </c>
      <c r="D562">
        <f t="shared" si="17"/>
        <v>2928994</v>
      </c>
    </row>
    <row r="563" spans="2:4" ht="15" thickBot="1" x14ac:dyDescent="0.4">
      <c r="B563" s="1" t="s">
        <v>1090</v>
      </c>
      <c r="C563" t="str">
        <f t="shared" si="16"/>
        <v>Land Rover Range Rover D350 HSE</v>
      </c>
      <c r="D563">
        <f t="shared" si="17"/>
        <v>2966600</v>
      </c>
    </row>
    <row r="564" spans="2:4" ht="15" thickBot="1" x14ac:dyDescent="0.4">
      <c r="B564" s="1" t="s">
        <v>1091</v>
      </c>
      <c r="C564" t="str">
        <f t="shared" si="16"/>
        <v>Land Rover Range Rover D350 SE L 7 seats</v>
      </c>
      <c r="D564">
        <f t="shared" si="17"/>
        <v>2967600</v>
      </c>
    </row>
    <row r="565" spans="2:4" ht="15" thickBot="1" x14ac:dyDescent="0.4">
      <c r="B565" s="1" t="s">
        <v>1092</v>
      </c>
      <c r="C565" t="str">
        <f t="shared" si="16"/>
        <v>BMW X6 M competition</v>
      </c>
      <c r="D565">
        <f t="shared" si="17"/>
        <v>3028842</v>
      </c>
    </row>
    <row r="566" spans="2:4" ht="15" thickBot="1" x14ac:dyDescent="0.4">
      <c r="B566" s="1" t="s">
        <v>1093</v>
      </c>
      <c r="C566" t="str">
        <f t="shared" si="16"/>
        <v>Land Rover Range Rover Sport P530 First Edition</v>
      </c>
      <c r="D566">
        <f t="shared" si="17"/>
        <v>3042500</v>
      </c>
    </row>
    <row r="567" spans="2:4" ht="15" thickBot="1" x14ac:dyDescent="0.4">
      <c r="B567" s="1" t="s">
        <v>1094</v>
      </c>
      <c r="C567" t="str">
        <f t="shared" si="16"/>
        <v>Land Rover Range Rover P530 HSE</v>
      </c>
      <c r="D567">
        <f t="shared" si="17"/>
        <v>3148600</v>
      </c>
    </row>
    <row r="568" spans="2:4" ht="15" thickBot="1" x14ac:dyDescent="0.4">
      <c r="B568" s="1" t="s">
        <v>1095</v>
      </c>
      <c r="C568" t="str">
        <f t="shared" si="16"/>
        <v>Porsche Cayenne turbo S e-hybrid</v>
      </c>
      <c r="D568">
        <f t="shared" si="17"/>
        <v>3277000</v>
      </c>
    </row>
    <row r="569" spans="2:4" ht="15" thickBot="1" x14ac:dyDescent="0.4">
      <c r="B569" s="1" t="s">
        <v>1096</v>
      </c>
      <c r="C569" t="str">
        <f t="shared" si="16"/>
        <v>Mercedes-AMG GLE63 S 4Matic+</v>
      </c>
      <c r="D569">
        <f t="shared" si="17"/>
        <v>3337137</v>
      </c>
    </row>
    <row r="570" spans="2:4" ht="15" thickBot="1" x14ac:dyDescent="0.4">
      <c r="B570" s="1" t="s">
        <v>1097</v>
      </c>
      <c r="C570" t="str">
        <f t="shared" si="16"/>
        <v>Porsche Cayenne turbo S e-hybrid Coupé</v>
      </c>
      <c r="D570">
        <f t="shared" si="17"/>
        <v>3358000</v>
      </c>
    </row>
    <row r="571" spans="2:4" ht="15" thickBot="1" x14ac:dyDescent="0.4">
      <c r="B571" s="1" t="s">
        <v>1098</v>
      </c>
      <c r="C571" t="str">
        <f t="shared" si="16"/>
        <v>BMW XM</v>
      </c>
      <c r="D571">
        <f t="shared" si="17"/>
        <v>3400000</v>
      </c>
    </row>
    <row r="572" spans="2:4" ht="15" thickBot="1" x14ac:dyDescent="0.4">
      <c r="B572" s="1" t="s">
        <v>1099</v>
      </c>
      <c r="C572" t="str">
        <f t="shared" si="16"/>
        <v>Mercedes-AMG GLS63 4Matic+</v>
      </c>
      <c r="D572">
        <f t="shared" si="17"/>
        <v>3401662</v>
      </c>
    </row>
    <row r="573" spans="2:4" ht="15" thickBot="1" x14ac:dyDescent="0.4">
      <c r="B573" s="1" t="s">
        <v>1100</v>
      </c>
      <c r="C573" t="str">
        <f t="shared" si="16"/>
        <v>Mercedes-AMG GLE63 S Coupé 4Matic+</v>
      </c>
      <c r="D573">
        <f t="shared" si="17"/>
        <v>3405844</v>
      </c>
    </row>
    <row r="574" spans="2:4" ht="15" thickBot="1" x14ac:dyDescent="0.4">
      <c r="B574" s="1" t="s">
        <v>1101</v>
      </c>
      <c r="C574" t="str">
        <f t="shared" si="16"/>
        <v>Land Rover Range Rover D350 Autobiography</v>
      </c>
      <c r="D574">
        <f t="shared" si="17"/>
        <v>3428600</v>
      </c>
    </row>
    <row r="575" spans="2:4" ht="15" thickBot="1" x14ac:dyDescent="0.4">
      <c r="B575" s="1" t="s">
        <v>1102</v>
      </c>
      <c r="C575" t="str">
        <f t="shared" si="16"/>
        <v>Porsche Cayenne turbo GT</v>
      </c>
      <c r="D575">
        <f t="shared" si="17"/>
        <v>3500000</v>
      </c>
    </row>
    <row r="576" spans="2:4" ht="15" thickBot="1" x14ac:dyDescent="0.4">
      <c r="B576" s="1" t="s">
        <v>1103</v>
      </c>
      <c r="C576" t="str">
        <f t="shared" si="16"/>
        <v>Land Rover Range Rover D350 Autobiography L</v>
      </c>
      <c r="D576">
        <f t="shared" si="17"/>
        <v>3513600</v>
      </c>
    </row>
    <row r="577" spans="2:4" ht="15" thickBot="1" x14ac:dyDescent="0.4">
      <c r="B577" s="1" t="s">
        <v>1104</v>
      </c>
      <c r="C577" t="str">
        <f t="shared" si="16"/>
        <v>Land Rover Range Rover D350 Autobiography L 7 seats</v>
      </c>
      <c r="D577">
        <f t="shared" si="17"/>
        <v>3544600</v>
      </c>
    </row>
    <row r="578" spans="2:4" ht="15" thickBot="1" x14ac:dyDescent="0.4">
      <c r="B578" s="1" t="s">
        <v>1105</v>
      </c>
      <c r="C578" t="str">
        <f t="shared" si="16"/>
        <v>Land Rover Range Rover D350 First Edition</v>
      </c>
      <c r="D578">
        <f t="shared" si="17"/>
        <v>3556600</v>
      </c>
    </row>
    <row r="579" spans="2:4" ht="15" thickBot="1" x14ac:dyDescent="0.4">
      <c r="B579" s="1" t="s">
        <v>1106</v>
      </c>
      <c r="C579" t="str">
        <f t="shared" ref="C579:C601" si="18">TRIM(LEFT(B579, FIND("©",SUBSTITUTE(B579,"R","©",LEN(B579)-LEN(SUBSTITUTE(B579,"R",""))))-1))</f>
        <v>Mercedes-AMG G63</v>
      </c>
      <c r="D579">
        <f t="shared" ref="D579:D601" si="19">--SUBSTITUTE(TRIM(RIGHT(B579, LEN(B579) - FIND("©",SUBSTITUTE(B579,"R","©",LEN(B579)-LEN(SUBSTITUTE(B579,"R","")))))), " ", "")</f>
        <v>3561868</v>
      </c>
    </row>
    <row r="580" spans="2:4" ht="15" thickBot="1" x14ac:dyDescent="0.4">
      <c r="B580" s="1" t="s">
        <v>1107</v>
      </c>
      <c r="C580" t="str">
        <f t="shared" si="18"/>
        <v>Land Rover Range Rover P530 Autobiography</v>
      </c>
      <c r="D580">
        <f t="shared" si="19"/>
        <v>3610600</v>
      </c>
    </row>
    <row r="581" spans="2:4" ht="15" thickBot="1" x14ac:dyDescent="0.4">
      <c r="B581" s="1" t="s">
        <v>1108</v>
      </c>
      <c r="C581" t="str">
        <f t="shared" si="18"/>
        <v>Land Rover Range Rover P510e Autobiography</v>
      </c>
      <c r="D581">
        <f t="shared" si="19"/>
        <v>3637300</v>
      </c>
    </row>
    <row r="582" spans="2:4" ht="15" thickBot="1" x14ac:dyDescent="0.4">
      <c r="B582" s="1" t="s">
        <v>1109</v>
      </c>
      <c r="C582" t="str">
        <f t="shared" si="18"/>
        <v>Land Rover Range Rover D350 First Edition L</v>
      </c>
      <c r="D582">
        <f t="shared" si="19"/>
        <v>3640600</v>
      </c>
    </row>
    <row r="583" spans="2:4" ht="15" thickBot="1" x14ac:dyDescent="0.4">
      <c r="B583" s="1" t="s">
        <v>1110</v>
      </c>
      <c r="C583" t="str">
        <f t="shared" si="18"/>
        <v>Mercedes-Maybach GLS600</v>
      </c>
      <c r="D583">
        <f t="shared" si="19"/>
        <v>3652592</v>
      </c>
    </row>
    <row r="584" spans="2:4" ht="15" thickBot="1" x14ac:dyDescent="0.4">
      <c r="B584" s="1" t="s">
        <v>1111</v>
      </c>
      <c r="C584" t="str">
        <f t="shared" si="18"/>
        <v>Land Rover Range Rover P510e First Edition</v>
      </c>
      <c r="D584">
        <f t="shared" si="19"/>
        <v>3693300</v>
      </c>
    </row>
    <row r="585" spans="2:4" ht="15" thickBot="1" x14ac:dyDescent="0.4">
      <c r="B585" s="1" t="s">
        <v>1112</v>
      </c>
      <c r="C585" t="str">
        <f t="shared" si="18"/>
        <v>Land Rover Range Rover P530 Autobiography L</v>
      </c>
      <c r="D585">
        <f t="shared" si="19"/>
        <v>3695600</v>
      </c>
    </row>
    <row r="586" spans="2:4" ht="15" thickBot="1" x14ac:dyDescent="0.4">
      <c r="B586" s="1" t="s">
        <v>1113</v>
      </c>
      <c r="C586" t="str">
        <f t="shared" si="18"/>
        <v>Land Rover Range Rover P530 First Edition</v>
      </c>
      <c r="D586">
        <f t="shared" si="19"/>
        <v>3719600</v>
      </c>
    </row>
    <row r="587" spans="2:4" ht="15" thickBot="1" x14ac:dyDescent="0.4">
      <c r="B587" s="1" t="s">
        <v>1114</v>
      </c>
      <c r="C587" t="str">
        <f t="shared" si="18"/>
        <v>Land Rover Range Rover P530 Autobiography L 7 seats</v>
      </c>
      <c r="D587">
        <f t="shared" si="19"/>
        <v>3726600</v>
      </c>
    </row>
    <row r="588" spans="2:4" ht="15" thickBot="1" x14ac:dyDescent="0.4">
      <c r="B588" s="1" t="s">
        <v>1115</v>
      </c>
      <c r="C588" t="str">
        <f t="shared" si="18"/>
        <v>Land Rover Range Rover P530 First Edition L</v>
      </c>
      <c r="D588">
        <f t="shared" si="19"/>
        <v>3804600</v>
      </c>
    </row>
    <row r="589" spans="2:4" ht="15" thickBot="1" x14ac:dyDescent="0.4">
      <c r="B589" s="1" t="s">
        <v>1116</v>
      </c>
      <c r="C589" t="str">
        <f t="shared" si="18"/>
        <v>Land Rover Range Rover D350 SV</v>
      </c>
      <c r="D589">
        <f t="shared" si="19"/>
        <v>3992600</v>
      </c>
    </row>
    <row r="590" spans="2:4" ht="15" thickBot="1" x14ac:dyDescent="0.4">
      <c r="B590" s="1" t="s">
        <v>1117</v>
      </c>
      <c r="C590" t="str">
        <f t="shared" si="18"/>
        <v>Land Rover Range Rover P530 SV</v>
      </c>
      <c r="D590">
        <f t="shared" si="19"/>
        <v>4069600</v>
      </c>
    </row>
    <row r="591" spans="2:4" ht="15" thickBot="1" x14ac:dyDescent="0.4">
      <c r="B591" s="1" t="s">
        <v>1118</v>
      </c>
      <c r="C591" t="str">
        <f t="shared" si="18"/>
        <v>Land Rover Range Rover P510e SV</v>
      </c>
      <c r="D591">
        <f t="shared" si="19"/>
        <v>4085300</v>
      </c>
    </row>
    <row r="592" spans="2:4" ht="15" thickBot="1" x14ac:dyDescent="0.4">
      <c r="B592" s="1" t="s">
        <v>1119</v>
      </c>
      <c r="C592" t="str">
        <f t="shared" si="18"/>
        <v>Maserati Levante Trofeo</v>
      </c>
      <c r="D592">
        <f t="shared" si="19"/>
        <v>4250000</v>
      </c>
    </row>
    <row r="593" spans="2:4" ht="15" thickBot="1" x14ac:dyDescent="0.4">
      <c r="B593" s="1" t="s">
        <v>1120</v>
      </c>
      <c r="C593" t="str">
        <f t="shared" si="18"/>
        <v>Lamborghini Urus S</v>
      </c>
      <c r="D593">
        <f t="shared" si="19"/>
        <v>4395000</v>
      </c>
    </row>
    <row r="594" spans="2:4" ht="15" thickBot="1" x14ac:dyDescent="0.4">
      <c r="B594" s="1" t="s">
        <v>1121</v>
      </c>
      <c r="C594" t="str">
        <f t="shared" si="18"/>
        <v>Land Rover Range Rover D350 SV L</v>
      </c>
      <c r="D594">
        <f t="shared" si="19"/>
        <v>4426600</v>
      </c>
    </row>
    <row r="595" spans="2:4" ht="15" thickBot="1" x14ac:dyDescent="0.4">
      <c r="B595" s="1" t="s">
        <v>1122</v>
      </c>
      <c r="C595" t="str">
        <f t="shared" si="18"/>
        <v>Bentley Bentayga V8</v>
      </c>
      <c r="D595">
        <f t="shared" si="19"/>
        <v>4480000</v>
      </c>
    </row>
    <row r="596" spans="2:4" ht="15" thickBot="1" x14ac:dyDescent="0.4">
      <c r="B596" s="1" t="s">
        <v>1123</v>
      </c>
      <c r="C596" t="str">
        <f t="shared" si="18"/>
        <v>Land Rover Range Rover P530 SV L</v>
      </c>
      <c r="D596">
        <f t="shared" si="19"/>
        <v>4504600</v>
      </c>
    </row>
    <row r="597" spans="2:4" ht="15" thickBot="1" x14ac:dyDescent="0.4">
      <c r="B597" s="1" t="s">
        <v>1124</v>
      </c>
      <c r="C597" t="str">
        <f t="shared" si="18"/>
        <v>Lamborghini Urus Performante</v>
      </c>
      <c r="D597">
        <f t="shared" si="19"/>
        <v>4795000</v>
      </c>
    </row>
    <row r="598" spans="2:4" ht="15" thickBot="1" x14ac:dyDescent="0.4">
      <c r="B598" s="1" t="s">
        <v>1125</v>
      </c>
      <c r="C598" t="str">
        <f t="shared" si="18"/>
        <v>Bentley Bentayga S</v>
      </c>
      <c r="D598">
        <f t="shared" si="19"/>
        <v>5310000</v>
      </c>
    </row>
    <row r="599" spans="2:4" ht="15" thickBot="1" x14ac:dyDescent="0.4">
      <c r="B599" s="1" t="s">
        <v>1126</v>
      </c>
      <c r="C599" t="str">
        <f t="shared" si="18"/>
        <v>Bentley Bentayga Azure</v>
      </c>
      <c r="D599">
        <f t="shared" si="19"/>
        <v>5390000</v>
      </c>
    </row>
    <row r="600" spans="2:4" ht="15" thickBot="1" x14ac:dyDescent="0.4">
      <c r="B600" s="1" t="s">
        <v>1127</v>
      </c>
      <c r="C600" t="str">
        <f t="shared" si="18"/>
        <v>Bentley Bentayga EWB Azure</v>
      </c>
      <c r="D600">
        <f t="shared" si="19"/>
        <v>5770000</v>
      </c>
    </row>
    <row r="601" spans="2:4" ht="15" thickBot="1" x14ac:dyDescent="0.4">
      <c r="B601" s="1" t="s">
        <v>1128</v>
      </c>
      <c r="C601" t="str">
        <f t="shared" si="18"/>
        <v>Bentley Bentayga Speed</v>
      </c>
      <c r="D601">
        <f t="shared" si="19"/>
        <v>5820000</v>
      </c>
    </row>
  </sheetData>
  <hyperlinks>
    <hyperlink ref="B2" r:id="rId1" display="https://www.carmag.co.za/car-price-guide-view/mahindra-kuv100-nxt-1-2-g80-k2/TWFoaW5kcmEgS1VWMTAwIE54dCAxLjIgRzgwIEsyKw==/?price=172999" xr:uid="{51E9B021-DAA6-45E5-920A-97F79BAC1C15}"/>
    <hyperlink ref="B3" r:id="rId2" display="https://www.carmag.co.za/car-price-guide-view/mahindra-kuv100-nxt-1-2-g80-k2-dare/TWFoaW5kcmEgS1VWMTAwIE54dCAxLjIgRzgwIEsyKyAjREFSRQ==/?price=192999" xr:uid="{8CBBE0BB-EE97-41FF-8952-B557FB2B1DAB}"/>
    <hyperlink ref="B4" r:id="rId3" display="https://www.carmag.co.za/car-price-guide-view/suzuki-ignis-1-2-gl/U3V6dWtpIElnbmlzIDEuMiBHTA==/?price=208900" xr:uid="{390A7A77-4EE9-4DFA-96AE-6F3AE0A70183}"/>
    <hyperlink ref="B5" r:id="rId4" display="https://www.carmag.co.za/car-price-guide-view/mahindra-kuv100-nxt-1-2-g80-k6/TWFoaW5kcmEgS1VWMTAwIE54dCAxLjIgRzgwIEs2Kw==/?price=217999" xr:uid="{2E0C4135-AEDA-40B1-A717-3123BD3D8FD4}"/>
    <hyperlink ref="B6" r:id="rId5" display="https://www.carmag.co.za/car-price-guide-view/baic-x25-1-5-comfort/QkFJQyBYMjUgMS41IENvbWZvcnQ=/?price=219990" xr:uid="{9953E69E-CEC8-4A6E-BA5E-8A1A4FF3B9D1}"/>
    <hyperlink ref="B7" r:id="rId6" display="https://www.carmag.co.za/car-price-guide-view/renault-kiger-1-0-life/UmVuYXVsdCBLaWdlciAxLjAgTGlmZQ==/?price=219999" xr:uid="{2953AD31-350F-4F81-B988-DBC98568615C}"/>
    <hyperlink ref="B8" r:id="rId7" display="https://www.carmag.co.za/car-price-guide-view/mahindra-kuv100-nxt-1-2-g80-k6-dare/TWFoaW5kcmEgS1VWMTAwIE54dCAxLjIgRzgwIEs2KyAjREFSRQ==/?price=227999" xr:uid="{DFF88A93-01D6-4494-9EF0-F95657F712E5}"/>
    <hyperlink ref="B9" r:id="rId8" display="https://www.carmag.co.za/car-price-guide-view/baic-x25-1-5-fashion/QkFJQyBYMjUgMS41IEZhc2hpb24=/?price=229990" xr:uid="{856AA98F-0651-450F-B496-E388B8A655D4}"/>
    <hyperlink ref="B10" r:id="rId9" display="https://www.carmag.co.za/car-price-guide-view/renault-kiger-1-0-zen/UmVuYXVsdCBLaWdlciAxLjAgWmVu/?price=234999" xr:uid="{EC27DCF5-CFE7-4390-A4AF-3F4BB3B123A7}"/>
    <hyperlink ref="B11" r:id="rId10" display="https://www.carmag.co.za/car-price-guide-view/suzuki-ignis-1-2-glx/U3V6dWtpIElnbmlzIDEuMiBHTFg=/?price=241900" xr:uid="{676C41DD-FBB6-4B86-B695-7560C81EB322}"/>
    <hyperlink ref="B12" r:id="rId11" display="https://www.carmag.co.za/car-price-guide-view/renault-kiger-1-0-zen-auto/UmVuYXVsdCBLaWdlciAxLjAgWmVuIGF1dG8=/?price=244999" xr:uid="{4CB6D3AD-2143-4D27-B8CC-1124F223F315}"/>
    <hyperlink ref="B13" r:id="rId12" display="https://www.carmag.co.za/car-price-guide-view/mahindra-kuv100-nxt-1-2-g80-k8/TWFoaW5kcmEgS1VWMTAwIE54dCAxLjIgRzgwIEs4/?price=249999" xr:uid="{9F5A25DE-BB79-4E0E-AFAE-78C3BFB354A3}"/>
    <hyperlink ref="B14" r:id="rId13" display="https://www.carmag.co.za/car-price-guide-view/mahindra-kuv100-nxt-1-2td-d75-k6/TWFoaW5kcmEgS1VWMTAwIE54dCAxLjJURCBENzUgSzYr/?price=254999" xr:uid="{39B7192D-8F1F-4E0A-8D89-9C17FCAE32CA}"/>
    <hyperlink ref="B15" r:id="rId14" display="https://www.carmag.co.za/car-price-guide-view/suzuki-ignis-1-2-glx-auto/U3V6dWtpIElnbmlzIDEuMiBHTFggYXV0bw==/?price=258900" xr:uid="{9803E1E2-1BBC-42BB-BAF0-E8669A3600AE}"/>
    <hyperlink ref="B16" r:id="rId15" display="https://www.carmag.co.za/car-price-guide-view/mahindra-xuv300-1-2t-w4/TWFoaW5kcmEgWFVWMzAwIDEuMlQgVzQ=/?price=259999" xr:uid="{3D67A3AE-B72E-4218-8584-454576B35BC8}"/>
    <hyperlink ref="B17" r:id="rId16" display="https://www.carmag.co.za/car-price-guide-view/suzuki-vitara-brezza-1-5-gl/U3V6dWtpIFZpdGFyYSBCcmV6emEgMS41IEdM/?price=262900" xr:uid="{F0A199F1-85D0-4654-9C65-BEBB79820452}"/>
    <hyperlink ref="B18" r:id="rId17" display="https://www.carmag.co.za/car-price-guide-view/mahindra-xuv300-1-2t-w4-se/TWFoaW5kcmEgWFVWMzAwIDEuMlQgVzQgU0U=/?price=268999" xr:uid="{FE73EFA6-B364-434B-87DC-244A3AD2F154}"/>
    <hyperlink ref="B19" r:id="rId18" display="https://www.carmag.co.za/car-price-guide-view/suzuki-vitara-brezza-1-5-gl-s-edition/U3V6dWtpIFZpdGFyYSBCcmV6emEgMS41IEdMIFMtRWRpdGlvbg==/?price=281900" xr:uid="{2DB9C292-0D73-4114-B606-DD3AB1DA24F8}"/>
    <hyperlink ref="B20" r:id="rId19" display="https://www.carmag.co.za/car-price-guide-view/toyota-urban-cruiser-1-5-xi/VG95b3RhIFVyYmFuIENydWlzZXIgMS41IFhp/?price=283200" xr:uid="{22972475-415E-458E-BD2B-CC0C6B1D92BA}"/>
    <hyperlink ref="B21" r:id="rId20" display="https://www.carmag.co.za/car-price-guide-view/suzuki-vitara-brezza-1-5-gl-auto/U3V6dWtpIFZpdGFyYSBCcmV6emEgMS41IEdMIGF1dG8=/?price=283900" xr:uid="{BE957996-0F7B-4F0E-BBBD-82449B349998}"/>
    <hyperlink ref="B22" r:id="rId21" display="https://www.carmag.co.za/car-price-guide-view/mahindra-kuv100-nxt-1-2td-d75-k8/TWFoaW5kcmEgS1VWMTAwIE54dCAxLjJURCBENzUgSzg=/?price=283999" xr:uid="{EBF62629-AA10-4ABB-8700-A84DB5E19521}"/>
    <hyperlink ref="B23" r:id="rId22" display="https://www.carmag.co.za/car-price-guide-view/mahindra-xuv300-1-2t-w6/TWFoaW5kcmEgWFVWMzAwIDEuMlQgVzY=/?price=284999" xr:uid="{7D91F50F-CAAB-427F-8C81-31343D98D517}"/>
    <hyperlink ref="B24" r:id="rId23" display="https://www.carmag.co.za/car-price-guide-view/renault-kiger-1-0-turbo-zen/UmVuYXVsdCBLaWdlciAxLjAgVHVyYm8gWmVu/?price=289999" xr:uid="{51C19E24-35B7-4233-9DC8-3AB04A052DF3}"/>
    <hyperlink ref="B25" r:id="rId24" display="https://www.carmag.co.za/car-price-guide-view/nissan-magnite-1-0-turbo-acenta/Tmlzc2FuIE1hZ25pdGUgMS4wIFR1cmJvIEFjZW50YQ==/?price=296500" xr:uid="{E4CC76DC-5BAB-4AFC-82BC-85D28BCEB8A4}"/>
    <hyperlink ref="B26" r:id="rId25" display="https://www.carmag.co.za/car-price-guide-view/hyundai-venue-1-2-motion/SHl1bmRhaSBWZW51ZSAxLjIgTW90aW9u/?price=299900" xr:uid="{C6103005-49F1-4362-950B-8A7F7340531A}"/>
    <hyperlink ref="B27" r:id="rId26" display="https://www.carmag.co.za/car-price-guide-view/suzuki-vitara-brezza-1-5-gl-s-edition-auto/U3V6dWtpIFZpdGFyYSBCcmV6emEgMS41IEdMIFMtRWRpdGlvbiBhdXRv/?price=301900" xr:uid="{3440CD04-4038-4576-8A3C-609D4DD880FE}"/>
    <hyperlink ref="B28" r:id="rId27" display="https://www.carmag.co.za/car-price-guide-view/toyota-urban-cruiser-1-5-xs/VG95b3RhIFVyYmFuIENydWlzZXIgMS41IFhT/?price=303100" xr:uid="{67FB450E-B96B-43D1-BB15-042672FE86E3}"/>
    <hyperlink ref="B29" r:id="rId28" display="https://www.carmag.co.za/car-price-guide-view/nissan-magnite-1-0-turbo-acenta-red-edition/Tmlzc2FuIE1hZ25pdGUgMS4wIFR1cmJvIEFjZW50YSBSZWQgRWRpdGlvbg==/?price=304300" xr:uid="{D4EBA400-60EA-4984-99FF-C88D4AF9BD73}"/>
    <hyperlink ref="B30" r:id="rId29" display="https://www.carmag.co.za/car-price-guide-view/mahindra-xuv300-1-5td-w6/TWFoaW5kcmEgWFVWMzAwIDEuNVREIFc2/?price=306999" xr:uid="{18750104-4B3B-43B9-93CE-29A6FEA65A86}"/>
    <hyperlink ref="B31" r:id="rId30" display="https://www.carmag.co.za/car-price-guide-view/suzuki-vitara-brezza-1-5-glx/U3V6dWtpIFZpdGFyYSBCcmV6emEgMS41IEdMWA==/?price=308900" xr:uid="{EDE41795-3633-495A-8D4B-F39209E0D9F7}"/>
    <hyperlink ref="B32" r:id="rId31" display="https://www.carmag.co.za/car-price-guide-view/renault-kiger-1-0-turbo-intens/UmVuYXVsdCBLaWdlciAxLjAgVHVyYm8gSW50ZW5z/?price=309999" xr:uid="{46C2287A-6566-4E54-A054-78B25C597287}"/>
    <hyperlink ref="B33" r:id="rId32" display="https://www.carmag.co.za/car-price-guide-view/ford-ecosport-1-5-ambiente/Rm9yZCBFY29TcG9ydCAxLjUgQW1iaWVudGU=/?price=311400" xr:uid="{9B2ED0CB-06F7-4542-A4BA-32C37C110068}"/>
    <hyperlink ref="B34" r:id="rId33" display="https://www.carmag.co.za/car-price-guide-view/honda-wr-v-1-2-comfort/SG9uZGEgV1ItViAxLjIgQ29tZm9ydA==/?price=315200" xr:uid="{1C9FCC44-672D-403D-BA99-06B3EF554065}"/>
    <hyperlink ref="B35" r:id="rId34" display="https://www.carmag.co.za/car-price-guide-view/kia-sonet-1-5-lx/S2lhIFNvbmV0IDEuNSBMWA==/?price=316995" xr:uid="{110E6123-D4C3-4A0F-AD24-0CE2F54C61BD}"/>
    <hyperlink ref="B36" r:id="rId35" display="https://www.carmag.co.za/car-price-guide-view/ford-ecosport-1-5tdci-ambiente/Rm9yZCBFY29TcG9ydCAxLjVURENpIEFtYmllbnRl/?price=322500" xr:uid="{073C4341-C26D-4DBF-AF6A-71BE2B76BAA0}"/>
    <hyperlink ref="B37" r:id="rId36" display="https://www.carmag.co.za/car-price-guide-view/nissan-magnite-1-0-turbo-acenta-auto/Tmlzc2FuIE1hZ25pdGUgMS4wIFR1cmJvIEFjZW50YSBhdXRv/?price=324000" xr:uid="{697DD86E-EA84-40E5-8F2C-B3BFE49322D2}"/>
    <hyperlink ref="B38" r:id="rId37" display="https://www.carmag.co.za/car-price-guide-view/nissan-magnite-1-0-turbo-acenta-plus/Tmlzc2FuIE1hZ25pdGUgMS4wIFR1cmJvIEFjZW50YSBQbHVz/?price=326000" xr:uid="{7CC160D7-9CEC-4AF6-A116-0F59E8F2760A}"/>
    <hyperlink ref="B39" r:id="rId38" display="https://www.carmag.co.za/car-price-guide-view/toyota-urban-cruiser-1-5-xs-auto/VG95b3RhIFVyYmFuIENydWlzZXIgMS41IFhTIGF1dG8=/?price=327100" xr:uid="{7C872D15-8063-40A6-900F-28832C409936}"/>
    <hyperlink ref="B40" r:id="rId39" display="https://www.carmag.co.za/car-price-guide-view/suzuki-vitara-brezza-1-5-glx-auto/U3V6dWtpIFZpdGFyYSBCcmV6emEgMS41IEdMWCBhdXRv/?price=329900" xr:uid="{C9640CC9-7B43-42F5-82FD-B86535DA1690}"/>
    <hyperlink ref="B41" r:id="rId40" display="https://www.carmag.co.za/car-price-guide-view/renault-kiger-1-0-turbo-intens-auto/UmVuYXVsdCBLaWdlciAxLjAgVHVyYm8gSW50ZW5zIGF1dG8=/?price=329999" xr:uid="{34EFFFA2-612B-4646-B632-A996278DD5A6}"/>
    <hyperlink ref="B42" r:id="rId41" display="https://www.carmag.co.za/car-price-guide-view/nissan-magnite-1-0-turbo-acenta-red-edition-auto/Tmlzc2FuIE1hZ25pdGUgMS4wIFR1cmJvIEFjZW50YSBSZWQgRWRpdGlvbiBhdXRv/?price=331800" xr:uid="{C1912EDE-4BA9-421D-BA3C-5F9AFE25FA33}"/>
    <hyperlink ref="B43" r:id="rId42" display="https://www.carmag.co.za/car-price-guide-view/toyota-urban-cruiser-1-5-xr/VG95b3RhIFVyYmFuIENydWlzZXIgMS41IFhS/?price=333300" xr:uid="{89A40BEE-451F-451D-A41F-6FA587BAFE61}"/>
    <hyperlink ref="B44" r:id="rId43" display="https://www.carmag.co.za/car-price-guide-view/suzuki-jimny-1-5-ga-allgrip/U3V6dWtpIEppbW55IDEuNSBHQSBBbGxHcmlw/?price=334900" xr:uid="{23CAAEFF-69C6-4A72-92CC-C36F368764D0}"/>
    <hyperlink ref="B45" r:id="rId44" display="https://www.carmag.co.za/car-price-guide-view/chery-tiggo-4-pro-1-5-comfort/Q2hlcnkgVGlnZ28gNCBQcm8gMS41IENvbWZvcnQ=/?price=336900" xr:uid="{989831BE-6E63-490F-91F8-D3C80AF3C89B}"/>
    <hyperlink ref="B46" r:id="rId45" display="https://www.carmag.co.za/car-price-guide-view/kia-sonet-1-5-ex/S2lhIFNvbmV0IDEuNSBFWA==/?price=336995" xr:uid="{9DBDB091-C267-4864-8C66-EF6AD93BCA30}"/>
    <hyperlink ref="B47" r:id="rId46" display="https://www.carmag.co.za/car-price-guide-view/kia-sonet-1-5-lx-auto/S2lhIFNvbmV0IDEuNSBMWCBhdXRv/?price=337995" xr:uid="{08590285-67CB-46A1-8818-0842645BBF77}"/>
    <hyperlink ref="B48" r:id="rId47" display="https://www.carmag.co.za/car-price-guide-view/haval-jolion-1-5t-city/SGF2YWwgSm9saW9uIDEuNVQgQ2l0eQ==/?price=342950" xr:uid="{1761B05F-9260-4725-A333-1BA27DDF81D1}"/>
    <hyperlink ref="B49" r:id="rId48" display="https://www.carmag.co.za/car-price-guide-view/mahindra-xuv300-1-2t-w8/TWFoaW5kcmEgWFVWMzAwIDEuMlQgVzg=/?price=343999" xr:uid="{75A881C0-8176-42D4-8D99-3827EB9F4B78}"/>
    <hyperlink ref="B50" r:id="rId49" display="https://www.carmag.co.za/car-price-guide-view/ford-ecosport-1-5-ambiente-black/Rm9yZCBFY29TcG9ydCAxLjUgQW1iaWVudGUgQmxhY2s=/?price=346710" xr:uid="{FAC6E8E0-D6D0-420E-A05C-0A0998D04144}"/>
    <hyperlink ref="B51" r:id="rId50" display="https://www.carmag.co.za/car-price-guide-view/chery-tiggo-4-pro-1-5t-elite/Q2hlcnkgVGlnZ28gNCBQcm8gMS41VCBFbGl0ZQ==/?price=346900" xr:uid="{BA23DC25-BF54-471A-B9B6-7631150751AE}"/>
    <hyperlink ref="B52" r:id="rId51" display="https://www.carmag.co.za/car-price-guide-view/nissan-magnite-1-0-turbo-acenta-plus-auto/Tmlzc2FuIE1hZ25pdGUgMS4wIFR1cmJvIEFjZW50YSBQbHVzIGF1dG8=/?price=353500" xr:uid="{7B3B8E9C-3E00-4F94-84E0-FBCBAC4FFBA5}"/>
    <hyperlink ref="B53" r:id="rId52" display="https://www.carmag.co.za/car-price-guide-view/honda-wr-v-1-2-elegance/SG9uZGEgV1ItViAxLjIgRWxlZ2FuY2U=/?price=355900" xr:uid="{0AB9C05D-3FD8-458E-9A18-6CEC5789CBFF}"/>
    <hyperlink ref="B54" r:id="rId53" display="https://www.carmag.co.za/car-price-guide-view/suzuki-jimny-1-5-gl-allgrip/U3V6dWtpIEppbW55IDEuNSBHTCBBbGxHcmlw/?price=356900" xr:uid="{567EF5A3-55E0-4DB9-B68C-2FF09165AE12}"/>
    <hyperlink ref="B55" r:id="rId54" display="https://www.carmag.co.za/car-price-guide-view/toyota-urban-cruiser-1-5-xr-auto/VG95b3RhIFVyYmFuIENydWlzZXIgMS41IFhSIGF1dG8=/?price=357100" xr:uid="{8396E85E-C062-4CB5-9047-27A2BA61ACC0}"/>
    <hyperlink ref="B56" r:id="rId55" display="https://www.carmag.co.za/car-price-guide-view/kia-sonet-1-5-ex-auto/S2lhIFNvbmV0IDEuNSBFWCBhdXRv/?price=357995" xr:uid="{3BFEE0E6-23CA-4CD2-A864-C6E3E6521ED8}"/>
    <hyperlink ref="B57" r:id="rId56" display="https://www.carmag.co.za/car-price-guide-view/renault-duster-1-5dci-zen/UmVuYXVsdCBEdXN0ZXIgMS41ZENpIFplbg==/?price=357999" xr:uid="{1F92C45B-1923-4CAC-85B6-EDB1B48359DA}"/>
    <hyperlink ref="B58" r:id="rId57" display="https://www.carmag.co.za/car-price-guide-view/ford-ecosport-1-0t-trend/Rm9yZCBFY29TcG9ydCAxLjBUIFRyZW5k/?price=358700" xr:uid="{F83806A5-8799-4C64-AFC8-F098C51EBB60}"/>
    <hyperlink ref="B59" r:id="rId58" display="https://www.carmag.co.za/car-price-guide-view/hyundai-venue-1-0t-motion/SHl1bmRhaSBWZW51ZSAxLjBUIE1vdGlvbg==/?price=362900" xr:uid="{0680AB33-C211-4492-B8F8-EC27F2563513}"/>
    <hyperlink ref="B60" r:id="rId59" display="https://www.carmag.co.za/car-price-guide-view/mahindra-xuv300-1-5td-w8/TWFoaW5kcmEgWFVWMzAwIDEuNVREIFc4/?price=364999" xr:uid="{7E78F50D-7154-4124-8BC4-D4B89504D6E0}"/>
    <hyperlink ref="B61" r:id="rId60" display="https://www.carmag.co.za/car-price-guide-view/ford-ecosport-1-0t-trend-auto/Rm9yZCBFY29TcG9ydCAxLjBUIFRyZW5kIGF1dG8=/?price=375300" xr:uid="{594FBCCA-D34E-4F98-B5C5-E193FD892DB1}"/>
    <hyperlink ref="B62" r:id="rId61" display="https://www.carmag.co.za/car-price-guide-view/suzuki-jimny-1-5-glx-allgrip/U3V6dWtpIEppbW55IDEuNSBHTFggQWxsR3JpcA==/?price=377900" xr:uid="{7E911EEF-2A89-4341-A747-53A3E3D54D66}"/>
    <hyperlink ref="B63" r:id="rId62" display="https://www.carmag.co.za/car-price-guide-view/haval-jolion-1-5t-luxury/SGF2YWwgSm9saW9uIDEuNVQgTHV4dXJ5/?price=377950" xr:uid="{5576189C-BE8A-4C16-B630-E72162406FF8}"/>
    <hyperlink ref="B64" r:id="rId63" display="https://www.carmag.co.za/car-price-guide-view/suzuki-jimny-1-5-gl-allgrip-auto/U3V6dWtpIEppbW55IDEuNSBHTCBBbGxHcmlwIGF1dG8=/?price=378900" xr:uid="{09934D47-8B20-4E08-9736-892AEF48A19B}"/>
    <hyperlink ref="B65" r:id="rId64" display="https://www.carmag.co.za/car-price-guide-view/honda-br-v-1-5-trend/SG9uZGEgQlItViAxLjUgVHJlbmQ=/?price=379900" xr:uid="{D504BF44-C292-4B9F-89D8-05CD2EC0E5AC}"/>
    <hyperlink ref="B66" r:id="rId65" display="https://www.carmag.co.za/car-price-guide-view/kia-sonet-1-0t-ex/S2lhIFNvbmV0IDEuMFQgRVg=/?price=379995" xr:uid="{FCEAB6A8-1ADE-47A2-A19E-3AA59A60FFF8}"/>
    <hyperlink ref="B67" r:id="rId66" display="https://www.carmag.co.za/car-price-guide-view/toyota-corolla-cross-1-8-xi/VG95b3RhIENvcm9sbGEgQ3Jvc3MgMS44IFhp/?price=381200" xr:uid="{CF95C577-A390-4D54-9D7E-9A9BBDA2DE11}"/>
    <hyperlink ref="B68" r:id="rId67" display="https://www.carmag.co.za/car-price-guide-view/haval-jolion-1-5t-premium/SGF2YWwgSm9saW9uIDEuNVQgUHJlbWl1bQ==/?price=384950" xr:uid="{E3C28E01-F885-4D6A-BF24-4D250F7B3C97}"/>
    <hyperlink ref="B69" r:id="rId68" display="https://www.carmag.co.za/car-price-guide-view/mitsubishi-asx-2-0-es/TWl0c3ViaXNoaSBBU1ggMi4wIEVT/?price=384990" xr:uid="{5A1EA54A-8218-4B56-9BB4-A35CA320CF91}"/>
    <hyperlink ref="B70" r:id="rId69" display="https://www.carmag.co.za/car-price-guide-view/mahindra-scorpio-2-2crde-s11/TWFoaW5kcmEgU2NvcnBpbyAyLjJDUkRlIFMxMQ==/?price=389999" xr:uid="{557E70CE-D16C-4076-BA41-09D6FF2AA146}"/>
    <hyperlink ref="B71" r:id="rId70" display="https://www.carmag.co.za/car-price-guide-view/mazda-cx-3-2-0-active/TWF6ZGEgQ1gtMyAyLjAgQWN0aXZl/?price=390500" xr:uid="{C4E304F9-41C1-4163-8DEB-647826B6C118}"/>
    <hyperlink ref="B72" r:id="rId71" display="https://www.carmag.co.za/car-price-guide-view/volkswagen-t-cross-1-0tsi-70kw-comfortline/Vm9sa3N3YWdlbiBULUNyb3NzIDEuMFRTSSA3MGtXIENvbWZvcnRsaW5l/?price=393400" xr:uid="{E36A773B-61DC-4E0B-98FE-D5A2E36E2CF5}"/>
    <hyperlink ref="B73" r:id="rId72" display="https://www.carmag.co.za/car-price-guide-view/ford-ecosport-1-0t-active/Rm9yZCBFY29TcG9ydCAxLjBUIEFjdGl2ZQ==/?price=393700" xr:uid="{6E5EB039-E4F9-48BF-A7B4-08A012247C33}"/>
    <hyperlink ref="B74" r:id="rId73" display="https://www.carmag.co.za/car-price-guide-view/baic-beijing-x55-1-5t-dynamic/QkFJQyBCZWlqaW5nIFg1NSAxLjVUIER5bmFtaWM=/?price=394900" xr:uid="{35B2BDE3-A5E4-4E44-AE84-2DA16A1F3206}"/>
    <hyperlink ref="B75" r:id="rId74" display="https://www.carmag.co.za/car-price-guide-view/hyundai-venue-1-0t-fluid/SHl1bmRhaSBWZW51ZSAxLjBUIEZsdWlk/?price=397900" xr:uid="{EC1DA88B-A203-4EAF-80BD-6C5600FC490D}"/>
    <hyperlink ref="B76" r:id="rId75" display="https://www.carmag.co.za/car-price-guide-view/suzuki-jimny-1-5-glx-allgrip-auto/U3V6dWtpIEppbW55IDEuNSBHTFggQWxsR3JpcCBhdXRv/?price=399900" xr:uid="{53AB0F50-A028-45C1-A7B7-1C13447CA841}"/>
    <hyperlink ref="B77" r:id="rId76" display="https://www.carmag.co.za/car-price-guide-view/ford-ecosport-1-0t-titanium/Rm9yZCBFY29TcG9ydCAxLjBUIFRpdGFuaXVt/?price=401600" xr:uid="{2366AD1C-ACE6-40D4-BD4E-A28EDA5D2CA1}"/>
    <hyperlink ref="B78" r:id="rId77" display="https://www.carmag.co.za/car-price-guide-view/renault-duster-1-5dci-zen-auto/UmVuYXVsdCBEdXN0ZXIgMS41ZENpIFplbiBhdXRv/?price=401999" xr:uid="{8B79015A-AB4D-4FBE-8958-F4273BD163FA}"/>
    <hyperlink ref="B79" r:id="rId78" display="https://www.carmag.co.za/car-price-guide-view/hyundai-venue-1-0t-motion-auto/SHl1bmRhaSBWZW51ZSAxLjBUIE1vdGlvbiBhdXRv/?price=402900" xr:uid="{7788FBFF-2505-46A3-9F1B-1ABD286676CF}"/>
    <hyperlink ref="B80" r:id="rId79" display="https://www.carmag.co.za/car-price-guide-view/mitsubishi-asx-2-0-es-auto/TWl0c3ViaXNoaSBBU1ggMi4wIEVTIGF1dG8=/?price=404990" xr:uid="{AB7E32DA-CB17-4145-8682-40448E43B0C2}"/>
    <hyperlink ref="B81" r:id="rId80" display="https://www.carmag.co.za/car-price-guide-view/honda-br-v-1-5-comfort/SG9uZGEgQlItViAxLjUgQ29tZm9ydA==/?price=409900" xr:uid="{EE521BF5-6D8E-42B5-8163-14931ACB9C38}"/>
    <hyperlink ref="B82" r:id="rId81" display="https://www.carmag.co.za/car-price-guide-view/kia-sonet-1-0t-ex/S2lhIFNvbmV0IDEuMFQgRVgr/?price=409995" xr:uid="{88F222F2-332B-4687-BA57-43C85A15B801}"/>
    <hyperlink ref="B83" r:id="rId82" display="https://www.carmag.co.za/car-price-guide-view/renault-duster-1-5dci-intens/UmVuYXVsdCBEdXN0ZXIgMS41ZENpIEludGVucw==/?price=409999" xr:uid="{6592D418-24EC-48EB-85AF-E96F70F50DAF}"/>
    <hyperlink ref="B84" r:id="rId83" display="https://www.carmag.co.za/car-price-guide-view/mazda-cx-3-2-0-active-auto/TWF6ZGEgQ1gtMyAyLjAgQWN0aXZlIGF1dG8=/?price=412700" xr:uid="{695C4701-43D6-4685-9466-D40B4EB01B30}"/>
    <hyperlink ref="B85" r:id="rId84" display="https://www.carmag.co.za/car-price-guide-view/toyota-corolla-cross-1-8-xs/VG95b3RhIENvcm9sbGEgQ3Jvc3MgMS44IFhT/?price=414300" xr:uid="{CB0F9AC6-C2A9-4528-B44C-FEE8FE60CF95}"/>
    <hyperlink ref="B86" r:id="rId85" display="https://www.carmag.co.za/car-price-guide-view/haval-jolion-1-5t-luxury-auto/SGF2YWwgSm9saW9uIDEuNVQgTHV4dXJ5IGF1dG8=/?price=414950" xr:uid="{23CCEFF1-090B-4744-A013-4E5E2CA6D5E7}"/>
    <hyperlink ref="B87" r:id="rId86" display="https://www.carmag.co.za/car-price-guide-view/mahindra-scorpio-2-2crde-4wd-s11/TWFoaW5kcmEgU2NvcnBpbyAyLjJDUkRlIDRXRCBTMTE=/?price=414999" xr:uid="{B902955E-1121-4AF6-A13A-97E84EE56B80}"/>
    <hyperlink ref="B88" r:id="rId87" display="https://www.carmag.co.za/car-price-guide-view/ford-ecosport-1-0t-titanium-auto/Rm9yZCBFY29TcG9ydCAxLjBUIFRpdGFuaXVtIGF1dG8=/?price=416900" xr:uid="{DCF5B5D8-628C-452C-9465-90F021EAC66B}"/>
    <hyperlink ref="B89" r:id="rId88" display="https://www.carmag.co.za/car-price-guide-view/opel-crossland-1-2t-edition/T3BlbCBDcm9zc2xhbmQgMS4yVCBFZGl0aW9u/?price=419900" xr:uid="{9AADB7AF-311A-4ABE-996A-516ADE6EE043}"/>
    <hyperlink ref="B90" r:id="rId89" display="https://www.carmag.co.za/car-price-guide-view/baic-beijing-x55-1-5t-elite/QkFJQyBCZWlqaW5nIFg1NSAxLjVUIEVsaXRl/?price=424900" xr:uid="{8274F90E-AA50-489B-AB51-AE7319ED0028}"/>
    <hyperlink ref="B91" r:id="rId90" display="https://www.carmag.co.za/car-price-guide-view/mazda-cx-3-2-0-dynamic/TWF6ZGEgQ1gtMyAyLjAgRHluYW1pYw==/?price=427700" xr:uid="{50691366-0C09-4F8C-929E-4C948CAAC861}"/>
    <hyperlink ref="B92" r:id="rId91" display="https://www.carmag.co.za/car-price-guide-view/kia-seltos-1-6-ex/S2lhIFNlbHRvcyAxLjYgRVg=/?price=427995" xr:uid="{4707A8F7-72ED-4767-9B63-13F96DEFBB68}"/>
    <hyperlink ref="B93" r:id="rId92" display="https://www.carmag.co.za/car-price-guide-view/hyundai-creta-1-5-premium/SHl1bmRhaSBDcmV0YSAxLjUgUHJlbWl1bQ==/?price=428900" xr:uid="{8C64A64C-8DAB-457F-877A-5854C48F2B75}"/>
    <hyperlink ref="B94" r:id="rId93" display="https://www.carmag.co.za/car-price-guide-view/citroen-c3-aircross-1-2t-feel/Q2l0cm/Dq24gQzMgQWlyY3Jvc3MgMS4yVCBGZWVs/?price=429900" xr:uid="{B1292BA9-7A27-4382-9864-0E6410F37436}"/>
    <hyperlink ref="B95" r:id="rId94" display="https://www.carmag.co.za/car-price-guide-view/honda-br-v-1-5-comfort-auto/SG9uZGEgQlItViAxLjUgQ29tZm9ydCBhdXRv/?price=434900" xr:uid="{577FAC6B-2D28-4A0F-9CE5-9B5A3E4CA6B6}"/>
    <hyperlink ref="B96" r:id="rId95" display="https://www.carmag.co.za/car-price-guide-view/mitsubishi-asx-2-0-ls/TWl0c3ViaXNoaSBBU1ggMi4wIExT/?price=434990" xr:uid="{B748D90A-FFC7-4384-9B09-95E69CA26750}"/>
    <hyperlink ref="B97" r:id="rId96" display="https://www.carmag.co.za/car-price-guide-view/chery-tiggo-7-pro-1-5t-distinction/Q2hlcnkgVGlnZ28gNyBQcm8gMS41VCBEaXN0aW5jdGlvbg==/?price=437900" xr:uid="{521F564B-279C-4D72-B0EF-2CA4CFB40F07}"/>
    <hyperlink ref="B98" r:id="rId97" display="https://www.carmag.co.za/car-price-guide-view/volkswagen-t-cross-1-0tsi-85kw-comfortline/Vm9sa3N3YWdlbiBULUNyb3NzIDEuMFRTSSA4NWtXIENvbWZvcnRsaW5l/?price=438700" xr:uid="{DD6A8B08-FA80-48C9-954F-F1FA32195A7B}"/>
    <hyperlink ref="B99" r:id="rId98" display="https://www.carmag.co.za/car-price-guide-view/suzuki-vitara-1-6-glx-allgrip/U3V6dWtpIFZpdGFyYSAxLjYgR0xYIEFsbEdyaXA=/?price=438900" xr:uid="{2593C407-DA83-4674-8AD7-5F80B5B5A8BF}"/>
    <hyperlink ref="B100" r:id="rId99" display="https://www.carmag.co.za/car-price-guide-view/toyota-corolla-cross-1-8-hybrid-xs/VG95b3RhIENvcm9sbGEgQ3Jvc3MgMS44IEh5YnJpZCBYUw==/?price=442400" xr:uid="{1D866B87-25DD-4461-A438-86CABB24374A}"/>
    <hyperlink ref="B101" r:id="rId100" display="https://www.carmag.co.za/car-price-guide-view/mazda-cx-3-2-0-dynamic-auto/TWF6ZGEgQ1gtMyAyLjAgRHluYW1pYyBhdXRv/?price=443700" xr:uid="{403BF6CF-0989-40E2-91B9-24858EC920E8}"/>
    <hyperlink ref="B102" r:id="rId101" display="https://www.carmag.co.za/car-price-guide-view/suzuki-vitara-1-4t-glx/U3V6dWtpIFZpdGFyYSAxLjRUIEdMWA==/?price=445900" xr:uid="{DA2B8CC6-4367-4458-B202-5048AF82F135}"/>
    <hyperlink ref="B103" r:id="rId102" display="https://www.carmag.co.za/car-price-guide-view/kia-seltos-1-6-ex-auto/S2lhIFNlbHRvcyAxLjYgRVggYXV0bw==/?price=445995" xr:uid="{FB70C502-6E86-4502-9309-ECFEB9940B6E}"/>
    <hyperlink ref="B104" r:id="rId103" display="https://www.carmag.co.za/car-price-guide-view/haval-jolion-1-5t-super-luxury/SGF2YWwgSm9saW9uIDEuNVQgU3VwZXIgTHV4dXJ5/?price=446950" xr:uid="{860DA0EA-FC68-46D6-99A1-45FB9045780F}"/>
    <hyperlink ref="B105" r:id="rId104" display="https://www.carmag.co.za/car-price-guide-view/hyundai-creta-1-5-premium-auto/SHl1bmRhaSBDcmV0YSAxLjUgUHJlbWl1bSBhdXRv/?price=448900" xr:uid="{2741A27A-91DF-4A34-9EBE-81C7225FDCFD}"/>
    <hyperlink ref="B106" r:id="rId105" display="https://www.carmag.co.za/car-price-guide-view/proton-x50-1-5t-standard/UHJvdG9uIFg1MCAxLjVUIFN0YW5kYXJk/?price=449900" xr:uid="{BD960F35-705F-4763-A48F-3CBE1472C02E}"/>
    <hyperlink ref="B107" r:id="rId106" display="https://www.carmag.co.za/car-price-guide-view/toyota-corolla-cross-1-8-xr/VG95b3RhIENvcm9sbGEgQ3Jvc3MgMS44IFhS/?price=451300" xr:uid="{8EB43144-55A9-4E16-9C29-C9821E60C1CD}"/>
    <hyperlink ref="B108" r:id="rId107" display="https://www.carmag.co.za/car-price-guide-view/volkswagen-taigo-1-0tsi-life/Vm9sa3N3YWdlbiBUYWlnbyAxLjBUU0kgTGlmZQ==/?price=453800" xr:uid="{07B1BE85-0F03-4BE8-9BB1-CBFFB9FB4226}"/>
    <hyperlink ref="B109" r:id="rId108" display="https://www.carmag.co.za/car-price-guide-view/peugeot-2008-1-2t-active/UGV1Z2VvdCAyMDA4IDEuMlQgQWN0aXZl/?price=454900" xr:uid="{1CA11BBB-C2BF-442C-BBA9-51E1CA0D8AF3}"/>
    <hyperlink ref="B110" r:id="rId109" display="https://www.carmag.co.za/car-price-guide-view/mitsubishi-asx-2-0-ls-auto/TWl0c3ViaXNoaSBBU1ggMi4wIExTIGF1dG8=/?price=454990" xr:uid="{73608F1E-BB8C-45AF-AA99-627F8738CE2E}"/>
    <hyperlink ref="B111" r:id="rId110" display="https://www.carmag.co.za/car-price-guide-view/kia-seltos-1-5crdi-ex/S2lhIFNlbHRvcyAxLjVDUkRpIEVY/?price=457995" xr:uid="{916EA2B9-2F5E-4FAA-B749-BEEAF706ADD5}"/>
    <hyperlink ref="B112" r:id="rId111" display="https://www.carmag.co.za/car-price-guide-view/toyota-c-hr-1-2t/VG95b3RhIEMtSFIgMS4yVA==/?price=459500" xr:uid="{006D2179-37E4-4A35-938F-4C41CC114D6D}"/>
    <hyperlink ref="B113" r:id="rId112" display="https://www.carmag.co.za/car-price-guide-view/honda-br-v-1-5-elegance/SG9uZGEgQlItViAxLjUgRWxlZ2FuY2U=/?price=459900" xr:uid="{D277C1D6-4AAC-4CAC-A01A-9BDF95E9DAD3}"/>
    <hyperlink ref="B114" r:id="rId113" display="https://www.carmag.co.za/car-price-guide-view/mahindra-scorpio-2-2crde-4wd-s11-adventure/TWFoaW5kcmEgU2NvcnBpbyAyLjJDUkRlIDRXRCBTMTEgQWR2ZW50dXJl/?price=461999" xr:uid="{53901F58-374F-44F2-9FBB-8F02324BB0A2}"/>
    <hyperlink ref="B115" r:id="rId114" display="https://www.carmag.co.za/car-price-guide-view/hyundai-venue-1-0t-n-line/SHl1bmRhaSBWZW51ZSAxLjBUIE4gTGluZQ==/?price=463900" xr:uid="{A9185DD8-ACC0-4477-8101-D1B3F0EA622B}"/>
    <hyperlink ref="B116" r:id="rId115" display="https://www.carmag.co.za/car-price-guide-view/kia-seltos-1-6-ex/S2lhIFNlbHRvcyAxLjYgRVgr/?price=463995" xr:uid="{5ED739AE-122E-4A4E-A8F4-C294CF0EA582}"/>
    <hyperlink ref="B117" r:id="rId116" display="https://www.carmag.co.za/car-price-guide-view/subaru-xv-2-0i/U3ViYXJ1IFhWIDIuMGk=/?price=464000" xr:uid="{11277AC8-078F-423B-92CE-38CA844AFEDB}"/>
    <hyperlink ref="B118" r:id="rId117" display="https://www.carmag.co.za/car-price-guide-view/mitsubishi-asx-2-0-aspire/TWl0c3ViaXNoaSBBU1ggMi4wIEFzcGlyZQ==/?price=464995" xr:uid="{C5C13983-C7E4-4091-B67F-AAD275EDE960}"/>
    <hyperlink ref="B119" r:id="rId118" display="https://www.carmag.co.za/car-price-guide-view/mahindra-scorpio-n-2-2d-z4/TWFoaW5kcmEgU2NvcnBpby1OIDIuMkQgWjQ=/?price=465000" xr:uid="{4805A73F-5BA3-4249-8B60-5ADF7C35F921}"/>
    <hyperlink ref="B120" r:id="rId119" display="https://www.carmag.co.za/car-price-guide-view/toyota-corolla-cross-1-8-gr-sport/VG95b3RhIENvcm9sbGEgQ3Jvc3MgMS44IEdSLVNwb3J0/?price=466800" xr:uid="{1EFEB4F3-959F-4A59-B7E3-6BD29A1B5636}"/>
    <hyperlink ref="B121" r:id="rId120" display="https://www.carmag.co.za/car-price-guide-view/honda-hr-v-1-5-comfort/SG9uZGEgSFItViAxLjUgQ29tZm9ydA==/?price=469000" xr:uid="{9A3E8074-C1D1-44E7-8F4A-A9B507E4A6A1}"/>
    <hyperlink ref="B122" r:id="rId121" display="https://www.carmag.co.za/car-price-guide-view/suzuki-vitara-1-4t-glx-auto/U3V6dWtpIFZpdGFyYSAxLjRUIEdMWCBhdXRv/?price=469900" xr:uid="{3B31402E-C89E-49BA-B798-61A8794B8A3A}"/>
    <hyperlink ref="B123" r:id="rId122" display="https://www.carmag.co.za/car-price-guide-view/chery-tiggo-7-pro-1-5t-executive/Q2hlcnkgVGlnZ28gNyBQcm8gMS41VCBFeGVjdXRpdmU=/?price=472900" xr:uid="{C89C64B2-54CD-4F47-AA37-8A56F89DDD0A}"/>
    <hyperlink ref="B124" r:id="rId123" display="https://www.carmag.co.za/car-price-guide-view/mahindra-xuv700-2-0t-ax5/TWFoaW5kcmEgWFVWNzAwIDIuMFQgQVg1/?price=474999" xr:uid="{2D82F262-DAEE-475E-BB65-DD85244ED187}"/>
    <hyperlink ref="B125" r:id="rId124" display="https://www.carmag.co.za/car-price-guide-view/kia-seltos-1-5crdi-ex-auto/S2lhIFNlbHRvcyAxLjVDUkRpIEVYIGF1dG8=/?price=475995" xr:uid="{FFA4AFC0-1962-447C-8358-E3039B5B2B45}"/>
    <hyperlink ref="B126" r:id="rId125" display="https://www.carmag.co.za/car-price-guide-view/hyundai-grand-creta-2-0-executive/SHl1bmRhaSBHcmFuZCBDcmV0YSAyLjAgRXhlY3V0aXZl/?price=477900" xr:uid="{9CDC4434-CE36-460A-942C-69DEF5FE51D9}"/>
    <hyperlink ref="B127" r:id="rId126" display="https://www.carmag.co.za/car-price-guide-view/volkswagen-t-cross-1-0tsi-85kw-highline/Vm9sa3N3YWdlbiBULUNyb3NzIDEuMFRTSSA4NWtXIEhpZ2hsaW5l/?price=478000" xr:uid="{36394BC1-C85C-4070-95D0-F02E2BEE3B1A}"/>
    <hyperlink ref="B128" r:id="rId127" display="https://www.carmag.co.za/car-price-guide-view/opel-crossland-1-2t-gs-line/T3BlbCBDcm9zc2xhbmQgMS4yVCBHUyBMaW5l/?price=478900" xr:uid="{E757B19D-D591-46D5-9DB4-811E4FE81C44}"/>
    <hyperlink ref="B129" r:id="rId128" display="https://www.carmag.co.za/car-price-guide-view/haval-h6-2-0gdit-premium/SGF2YWwgSDYgMi4wR0RJVCBQcmVtaXVt/?price=479950" xr:uid="{B5A1C5E5-765E-4795-B582-A22AAB130D90}"/>
    <hyperlink ref="B130" r:id="rId129" display="https://www.carmag.co.za/car-price-guide-view/mitsubishi-eclipse-cross-2-0-gls/TWl0c3ViaXNoaSBFY2xpcHNlIENyb3NzIDIuMCBHTFM=/?price=479990" xr:uid="{F15C9DD2-F284-4F7D-963A-E99B55A1E4D1}"/>
    <hyperlink ref="B131" r:id="rId130" display="https://www.carmag.co.za/car-price-guide-view/toyota-corolla-cross-1-8-hybrid-xr/VG95b3RhIENvcm9sbGEgQ3Jvc3MgMS44IEh5YnJpZCBYUg==/?price=480200" xr:uid="{7041BF54-A25C-4F7A-8BBE-98E21AA95E9D}"/>
    <hyperlink ref="B132" r:id="rId131" display="https://www.carmag.co.za/car-price-guide-view/toyota-c-hr-1-2t-plus/VG95b3RhIEMtSFIgMS4yVCBQbHVz/?price=484000" xr:uid="{31D7386E-4899-48AA-BA0B-F2F6B5F5317E}"/>
    <hyperlink ref="B133" r:id="rId132" display="https://www.carmag.co.za/car-price-guide-view/volkswagen-taigo-1-0tsi-style/Vm9sa3N3YWdlbiBUYWlnbyAxLjBUU0kgU3R5bGU=/?price=489900" xr:uid="{904341D4-C467-4E10-91A0-CCFD5FAEDE37}"/>
    <hyperlink ref="B134" r:id="rId133" display="https://www.carmag.co.za/car-price-guide-view/kia-seltos-1-5crdi-ex/S2lhIFNlbHRvcyAxLjVDUkRpIEVYKw==/?price=493995" xr:uid="{324557E8-617F-40FB-BE85-B65914A51ED4}"/>
    <hyperlink ref="B135" r:id="rId134" display="https://www.carmag.co.za/car-price-guide-view/toyota-corolla-cross-1-8-hybrid-gr-sport/VG95b3RhIENvcm9sbGEgQ3Jvc3MgMS44IEh5YnJpZCBHUi1TcG9ydA==/?price=495200" xr:uid="{2D80603F-09F6-484B-87FC-6C32A1DE5B05}"/>
    <hyperlink ref="B136" r:id="rId135" display="https://www.carmag.co.za/car-price-guide-view/chery-tiggo-8-pro-1-6tgdi-290t-distinction/Q2hlcnkgVGlnZ28gOCBQcm8gMS42VEdESSAyOTBUIERpc3RpbmN0aW9u/?price=496900" xr:uid="{EE89B0DE-E624-4407-8445-284B0805E31E}"/>
    <hyperlink ref="B137" r:id="rId136" display="https://www.carmag.co.za/car-price-guide-view/mazda-cx-30-2-0-active/TWF6ZGEgQ1gtMzAgMi4wIEFjdGl2ZQ==/?price=497700" xr:uid="{855D7EE2-19AA-467F-8529-B21EE6BA62FD}"/>
    <hyperlink ref="B138" r:id="rId137" display="https://www.carmag.co.za/car-price-guide-view/toyota-c-hr-1-2t-plus-auto/VG95b3RhIEMtSFIgMS4yVCBQbHVzIGF1dG8=/?price=498500" xr:uid="{C113ADEB-5287-472F-A5D6-3E808EE09BBB}"/>
    <hyperlink ref="B139" r:id="rId138" display="https://www.carmag.co.za/car-price-guide-view/proton-x50-1-5t-luxury/UHJvdG9uIFg1MCAxLjVUIEx1eHVyeQ==/?price=499900" xr:uid="{BD15E0D0-AF7A-4829-BDA9-6C7994DB7D25}"/>
    <hyperlink ref="B140" r:id="rId139" display="https://www.carmag.co.za/car-price-guide-view/mahindra-scorpio-n-2-2d-z8/TWFoaW5kcmEgU2NvcnBpby1OIDIuMkQgWjg=/?price=510000" xr:uid="{1D26B877-A30A-4321-A058-FF2305938C0D}"/>
    <hyperlink ref="B141" r:id="rId140" display="https://www.carmag.co.za/car-price-guide-view/mazda-cx-3-2-0-individual/TWF6ZGEgQ1gtMyAyLjAgSW5kaXZpZHVhbA==/?price=511600" xr:uid="{9B94C692-EE52-43B9-9750-215A2C1C3C29}"/>
    <hyperlink ref="B142" r:id="rId141" display="https://www.carmag.co.za/car-price-guide-view/volkswagen-taigo-1-0tsi-r-line/Vm9sa3N3YWdlbiBUYWlnbyAxLjBUU0kgUi1MaW5l/?price=513100" xr:uid="{DBDE3D7E-DB17-4C0E-A590-79B311CD8801}"/>
    <hyperlink ref="B143" r:id="rId142" display="https://www.carmag.co.za/car-price-guide-view/mazda-cx-5-2-0-active/TWF6ZGEgQ1gtNSAyLjAgQWN0aXZl/?price=515600" xr:uid="{455D3800-A78A-4605-8360-6EDE0120F578}"/>
    <hyperlink ref="B144" r:id="rId143" display="https://www.carmag.co.za/car-price-guide-view/volkswagen-t-cross-1-5tsi-110kw-r-line/Vm9sa3N3YWdlbiBULUNyb3NzIDEuNVRTSSAxMTBrVyBSLUxpbmU=/?price=518800" xr:uid="{6D9AA912-4BDE-44CE-87A2-9C0D7D114F31}"/>
    <hyperlink ref="B145" r:id="rId144" display="https://www.carmag.co.za/car-price-guide-view/haval-h6-2-0gdit-luxury/SGF2YWwgSDYgMi4wR0RJVCBMdXh1cnk=/?price=518950" xr:uid="{1733A829-A468-4F98-8338-8B3296859AA5}"/>
    <hyperlink ref="B146" r:id="rId145" display="https://www.carmag.co.za/car-price-guide-view/mitsubishi-eclipse-cross-1-5t-gls/TWl0c3ViaXNoaSBFY2xpcHNlIENyb3NzIDEuNVQgR0xT/?price=519990" xr:uid="{9E9A43D0-8686-437B-847B-643BF0B5FCB3}"/>
    <hyperlink ref="B147" r:id="rId146" display="https://www.carmag.co.za/car-price-guide-view/nissan-x-trail-2-0-visia/Tmlzc2FuIFgtVHJhaWwgMi4wIFZpc2lh/?price=520900" xr:uid="{5BD2C17E-3796-4786-8A88-65D096A856E9}"/>
    <hyperlink ref="B148" r:id="rId147" display="https://www.carmag.co.za/car-price-guide-view/kia-seltos-1-4t-gdi-gt-line/S2lhIFNlbHRvcyAxLjRULUdESSBHVCBMaW5l/?price=523995" xr:uid="{86AFC561-D03C-43AF-A919-75867F06042F}"/>
    <hyperlink ref="B149" r:id="rId148" display="https://www.carmag.co.za/car-price-guide-view/mahindra-xuv700-2-0t-ax7/TWFoaW5kcmEgWFVWNzAwIDIuMFQgQVg3/?price=524999" xr:uid="{B933014C-CD15-4D10-8B8A-F930B14C6905}"/>
    <hyperlink ref="B150" r:id="rId149" display="https://www.carmag.co.za/car-price-guide-view/mazda-cx-30-2-0-dynamic/TWF6ZGEgQ1gtMzAgMi4wIER5bmFtaWM=/?price=529600" xr:uid="{8BADB2EB-0EE0-4346-9239-43C5CA8256C3}"/>
    <hyperlink ref="B151" r:id="rId150" display="https://www.carmag.co.za/car-price-guide-view/proton-x70-1-5t-standard/UHJvdG9uIFg3MCAxLjVUIFN0YW5kYXJk/?price=529900" xr:uid="{831ACCC7-3D46-4B75-B31C-03111BC59F6B}"/>
    <hyperlink ref="B152" r:id="rId151" display="https://www.carmag.co.za/car-price-guide-view/mazda-cx-5-2-0-active-auto/TWF6ZGEgQ1gtNSAyLjAgQWN0aXZlIGF1dG8=/?price=530900" xr:uid="{CE85556D-2DFE-46AC-B16B-3634AFB2EE83}"/>
    <hyperlink ref="B153" r:id="rId152" display="https://www.carmag.co.za/car-price-guide-view/subaru-xv-2-0i-s-es/U3ViYXJ1IFhWIDIuMGktUyBFUw==/?price=531000" xr:uid="{9ACE4DD5-2395-4E47-80EB-1279A2B6B042}"/>
    <hyperlink ref="B154" r:id="rId153" display="https://www.carmag.co.za/car-price-guide-view/mazda-cx-3-2-0-hikari/TWF6ZGEgQ1gtMyAyLjAgSGlrYXJp/?price=532600" xr:uid="{AE0BA929-F2F6-40F5-BD2E-4FEF063E7D0D}"/>
    <hyperlink ref="B155" r:id="rId154" display="https://www.carmag.co.za/car-price-guide-view/proton-x50-1-5t-executive/UHJvdG9uIFg1MCAxLjVUIEV4ZWN1dGl2ZQ==/?price=535900" xr:uid="{0842AE69-6274-4CE1-828B-A73BBCC4446A}"/>
    <hyperlink ref="B156" r:id="rId155" display="https://www.carmag.co.za/car-price-guide-view/opel-mokka-1-2t-gs-line/T3BlbCBNb2trYSAxLjJUIEdTIExpbmU=/?price=539900" xr:uid="{31DF5244-E562-4343-BEFB-FD04E319CEC4}"/>
    <hyperlink ref="B157" r:id="rId156" display="https://www.carmag.co.za/car-price-guide-view/mazda-cx-30-2-0-carbon-edition/TWF6ZGEgQ1gtMzAgMi4wIENhcmJvbiBFZGl0aW9u/?price=540200" xr:uid="{5ED67F65-1F43-44FF-99B2-FCAAA1EFDAE2}"/>
    <hyperlink ref="B158" r:id="rId157" display="https://www.carmag.co.za/car-price-guide-view/hyundai-grand-creta-1-5d-executive/SHl1bmRhaSBHcmFuZCBDcmV0YSAxLjVEIEV4ZWN1dGl2ZQ==/?price=540900" xr:uid="{9562F132-CF51-4FF2-9A46-3D401BB56C69}"/>
    <hyperlink ref="B159" r:id="rId158" display="https://www.carmag.co.za/car-price-guide-view/peugeot-2008-1-2t-gt/UGV1Z2VvdCAyMDA4IDEuMlQgR1Q=/?price=544900" xr:uid="{B6C084AB-DD58-4F8E-91B1-26157A0AEF1C}"/>
    <hyperlink ref="B160" r:id="rId159" display="https://www.carmag.co.za/car-price-guide-view/jeep-renegade-1-4t-limited/SmVlcCBSZW5lZ2FkZSAxLjRUIExpbWl0ZWQ=/?price=549900" xr:uid="{19D91C47-51FC-4C02-BE6D-6B17D511F8C6}"/>
    <hyperlink ref="B161" r:id="rId160" display="https://www.carmag.co.za/car-price-guide-view/haval-h6-2-0gdit-4wd-luxury/SGF2YWwgSDYgMi4wR0RJVCA0V0QgTHV4dXJ5/?price=549950" xr:uid="{34471005-F58A-4497-B7B8-B8A6B34B851C}"/>
    <hyperlink ref="B162" r:id="rId161" display="https://www.carmag.co.za/car-price-guide-view/hyundai-tucson-2-0-premium/SHl1bmRhaSBUdWNzb24gMi4wIFByZW1pdW0=/?price=550900" xr:uid="{0CDD3B39-EE93-4453-864C-5BEA828D4465}"/>
    <hyperlink ref="B163" r:id="rId162" display="https://www.carmag.co.za/car-price-guide-view/honda-hr-v-1-5-executive/SG9uZGEgSFItViAxLjUgRXhlY3V0aXZl/?price=554500" xr:uid="{D3AB5317-7B0A-47D5-B1C7-1FE75FC19171}"/>
    <hyperlink ref="B164" r:id="rId163" display="https://www.carmag.co.za/car-price-guide-view/kia-sportage-1-6t-gdi-lx/S2lhIFNwb3J0YWdlIDEuNlQtR0RpIExY/?price=554995" xr:uid="{80C592B1-3B17-459C-B46D-B2BBC261CA3A}"/>
    <hyperlink ref="B165" r:id="rId164" display="https://www.carmag.co.za/car-price-guide-view/mahindra-xuv700-2-0t-ax7-l/TWFoaW5kcmEgWFVWNzAwIDIuMFQgQVg3IEw=/?price=559999" xr:uid="{58AE923F-1953-4128-9217-20BD55C2BE36}"/>
    <hyperlink ref="B166" r:id="rId165" display="https://www.carmag.co.za/car-price-guide-view/mitsubishi-eclipse-cross-1-5t-gls-exceed/TWl0c3ViaXNoaSBFY2xpcHNlIENyb3NzIDEuNVQgR0xTIEV4Y2VlZA==/?price=560000" xr:uid="{AE83DC0A-AB5C-41EF-8820-429B5169501B}"/>
    <hyperlink ref="B167" r:id="rId166" display="https://www.carmag.co.za/car-price-guide-view/fiat-500x-1-4t-sport/RmlhdCA1MDBYIDEuNFQgU3BvcnQ=/?price=560900" xr:uid="{1C6773C7-CE3A-4B90-B535-CF698C115853}"/>
    <hyperlink ref="B168" r:id="rId167" display="https://www.carmag.co.za/car-price-guide-view/opel-grandland-x-1-6t/T3BlbCBHcmFuZGxhbmQgWCAxLjZU/?price=562900" xr:uid="{DCAA8474-3836-4C03-ABD8-6F02B945398A}"/>
    <hyperlink ref="B169" r:id="rId168" display="https://www.carmag.co.za/car-price-guide-view/baic-b40-plus-2-0tdi/QkFJQyBCNDAgUGx1cyAyLjBURGk=/?price=564500" xr:uid="{CD2C2C3B-7662-4DCC-B6C2-C2EA87A3F2EB}"/>
    <hyperlink ref="B170" r:id="rId169" display="https://www.carmag.co.za/car-price-guide-view/mazda-cx-5-2-0-dynamic/TWF6ZGEgQ1gtNSAyLjAgRHluYW1pYw==/?price=565100" xr:uid="{2BF6B601-DBF8-4645-81F7-C6E116892668}"/>
    <hyperlink ref="B171" r:id="rId170" display="https://www.carmag.co.za/car-price-guide-view/nissan-qashqai-1-3t-visia/Tmlzc2FuIFFhc2hxYWkgMS4zVCBWaXNpYQ==/?price=568200" xr:uid="{9856E81A-5C3E-4649-992D-5001F196A874}"/>
    <hyperlink ref="B172" r:id="rId171" display="https://www.carmag.co.za/car-price-guide-view/hyundai-grand-creta-2-0-elite/SHl1bmRhaSBHcmFuZCBDcmV0YSAyLjAgRWxpdGU=/?price=571900" xr:uid="{8CB82634-0531-49AB-83EF-383A269791FF}"/>
    <hyperlink ref="B173" r:id="rId172" display="https://www.carmag.co.za/car-price-guide-view/nissan-x-trail-2-5-4x4-acenta/Tmlzc2FuIFgtVHJhaWwgMi41IDR4NCBBY2VudGE=/?price=572000" xr:uid="{B8AD8ADF-E614-4122-8B99-CB2C6C31F98E}"/>
    <hyperlink ref="B174" r:id="rId173" display="https://www.carmag.co.za/car-price-guide-view/volkswagen-t-roc-1-4tsi-110kw-design/Vm9sa3N3YWdlbiBULVJvYyAxLjRUU0kgMTEwa1cgRGVzaWdu/?price=572300" xr:uid="{646B68D2-C3BD-452A-A185-EB1E9A76872C}"/>
    <hyperlink ref="B175" r:id="rId174" display="https://www.carmag.co.za/car-price-guide-view/mazda-cx-30-2-0-individual/TWF6ZGEgQ1gtMzAgMi4wIEluZGl2aWR1YWw=/?price=573100" xr:uid="{D3683864-AB4C-4DF4-85A0-A1B5792CE290}"/>
    <hyperlink ref="B176" r:id="rId175" display="https://www.carmag.co.za/car-price-guide-view/chery-tiggo-8-pro-1-6tgdi-290t-executive/Q2hlcnkgVGlnZ28gOCBQcm8gMS42VEdESSAyOTBUIEV4ZWN1dGl2ZQ==/?price=574900" xr:uid="{41C836D3-E00F-411E-B47A-715C80D12EEB}"/>
    <hyperlink ref="B177" r:id="rId176" display="https://www.carmag.co.za/car-price-guide-view/toyota-c-hr-1-2t-luxury/VG95b3RhIEMtSFIgMS4yVCBMdXh1cnk=/?price=576900" xr:uid="{28076BC1-5E18-4D4C-8770-FCE946B30984}"/>
    <hyperlink ref="B178" r:id="rId177" display="https://www.carmag.co.za/car-price-guide-view/proton-x70-1-5t-executive/UHJvdG9uIFg3MCAxLjVUIEV4ZWN1dGl2ZQ==/?price=579900" xr:uid="{D981FB50-53DB-40AE-8950-85F29253E287}"/>
    <hyperlink ref="B179" r:id="rId178" display="https://www.carmag.co.za/car-price-guide-view/haval-jolion-1-5-hev-super-luxury/SGF2YWwgSm9saW9uIDEuNSBIRVYgU3VwZXIgTHV4dXJ5/?price=579950" xr:uid="{5E62F490-F2FD-4153-8FE9-9579C771D47F}"/>
    <hyperlink ref="B180" r:id="rId179" display="https://www.carmag.co.za/car-price-guide-view/fiat-500x-1-4t-sport-est/RmlhdCA1MDBYIDEuNFQgU3BvcnQgRVNU/?price=580900" xr:uid="{BA02E2AE-3768-4C28-B487-A82D2CF0D362}"/>
    <hyperlink ref="B181" r:id="rId180" display="https://www.carmag.co.za/car-price-guide-view/renault-koleos-2-5-dynamique/UmVuYXVsdCBLb2xlb3MgMi41IER5bmFtaXF1ZQ==/?price=584999" xr:uid="{B7AAC0C0-002E-43BD-9C6D-72E22D48DB9A}"/>
    <hyperlink ref="B182" r:id="rId181" display="https://www.carmag.co.za/car-price-guide-view/honda-cr-v-2-0-comfort/SG9uZGEgQ1ItViAyLjAgQ29tZm9ydA==/?price=586600" xr:uid="{0C5B44A2-1084-4018-A051-E4DF3CDCDEB8}"/>
    <hyperlink ref="B183" r:id="rId182" display="https://www.carmag.co.za/car-price-guide-view/audi-q2-35tfsi/QXVkaSBRMiAzNVRGU0k=/?price=587600" xr:uid="{3EBFD627-EF8A-4921-B081-28571990E82D}"/>
    <hyperlink ref="B184" r:id="rId183" display="https://www.carmag.co.za/car-price-guide-view/volkswagen-tiguan-1-4tsi-110kw/Vm9sa3N3YWdlbiBUaWd1YW4gMS40VFNJIDExMGtX/?price=589000" xr:uid="{FDB84C72-CDA8-4FF4-B2D1-52BA33F1644C}"/>
    <hyperlink ref="B185" r:id="rId184" display="https://www.carmag.co.za/car-price-guide-view/peugeot-3008-1-6t-active/UGV1Z2VvdCAzMDA4IDEuNlQgQWN0aXZl/?price=589900" xr:uid="{0E478DAF-3FF3-4761-8D6C-F7F6873639C4}"/>
    <hyperlink ref="B186" r:id="rId185" display="https://www.carmag.co.za/car-price-guide-view/haval-h6-2-0gdit-4wd-super-luxury/SGF2YWwgSDYgMi4wR0RJVCA0V0QgU3VwZXIgTHV4dXJ5/?price=589950" xr:uid="{86F9CA37-AE8C-4288-A79F-D1B44D8369F0}"/>
    <hyperlink ref="B187" r:id="rId186" display="https://www.carmag.co.za/car-price-guide-view/mitsubishi-outlander-2-4-gls/TWl0c3ViaXNoaSBPdXRsYW5kZXIgMi40IEdMUw==/?price=589990" xr:uid="{E8D9F1A0-DB17-43C6-9B7D-801D19B0BA4E}"/>
    <hyperlink ref="B188" r:id="rId187" display="https://www.carmag.co.za/car-price-guide-view/mahindra-scorpio-n-2-2d-z8l-4xplor/TWFoaW5kcmEgU2NvcnBpby1OIDIuMkQgWjhMIDRYUGxvcg==/?price=590000" xr:uid="{F4E4C4E5-97E7-4EE5-9538-C522A8FDB25C}"/>
    <hyperlink ref="B189" r:id="rId188" display="https://www.carmag.co.za/car-price-guide-view/hyundai-grand-creta-1-5d-elite/SHl1bmRhaSBHcmFuZCBDcmV0YSAxLjVEIEVsaXRl/?price=592900" xr:uid="{8CF95C81-74BC-4791-9C9A-5A78090B3258}"/>
    <hyperlink ref="B190" r:id="rId189" display="https://www.carmag.co.za/car-price-guide-view/baic-b40-plus-2-0tdi-city-hunter/QkFJQyBCNDAgUGx1cyAyLjBURGkgQ2l0eSBIdW50ZXI=/?price=594500" xr:uid="{5839DC45-89CB-4663-BC19-A9F4E06A2593}"/>
    <hyperlink ref="B191" r:id="rId190" display="https://www.carmag.co.za/car-price-guide-view/baic-b40-plus-2-0t/QkFJQyBCNDAgUGx1cyAyLjBU/?price=599500" xr:uid="{0585D07E-DD6E-4595-B251-EE0ED5191D12}"/>
    <hyperlink ref="B192" r:id="rId191" display="https://www.carmag.co.za/car-price-guide-view/hyundai-tucson-2-0-executive/SHl1bmRhaSBUdWNzb24gMi4wIEV4ZWN1dGl2ZQ==/?price=601900" xr:uid="{C95D3345-527D-4796-8B3B-70811AD03524}"/>
    <hyperlink ref="B193" r:id="rId192" display="https://www.carmag.co.za/car-price-guide-view/kia-sportage-1-6t-gdi-ex/S2lhIFNwb3J0YWdlIDEuNlQtR0RpIEVY/?price=608995" xr:uid="{5E10D022-727F-4E15-8FB8-918EE75F33F5}"/>
    <hyperlink ref="B194" r:id="rId193" display="https://www.carmag.co.za/car-price-guide-view/subaru-forester-2-0i-s-es/U3ViYXJ1IEZvcmVzdGVyIDIuMGktUyBFUw==/?price=609000" xr:uid="{364DACC4-FBCB-410B-A015-9BC2A109239E}"/>
    <hyperlink ref="B195" r:id="rId194" display="https://www.carmag.co.za/car-price-guide-view/hyundai-kona-1-6t-n-line/SHl1bmRhaSBLb25hIDEuNlQgTiBMaW5l/?price=615900" xr:uid="{D3A0191E-FBCF-454C-A10B-4B20D52CCB78}"/>
    <hyperlink ref="B196" r:id="rId195" display="https://www.carmag.co.za/car-price-guide-view/audi-q2-35tfsi-s-line/QXVkaSBRMiAzNVRGU0kgUyBsaW5l/?price=617800" xr:uid="{36204C34-2BB1-4EB0-8311-A954026D2153}"/>
    <hyperlink ref="B197" r:id="rId196" display="https://www.carmag.co.za/car-price-guide-view/opel-grandland-x-1-6t-edition/T3BlbCBHcmFuZGxhbmQgWCAxLjZUIEVkaXRpb24=/?price=619900" xr:uid="{30306C58-30E3-403B-9A55-1AD767D26F31}"/>
    <hyperlink ref="B198" r:id="rId197" display="https://www.carmag.co.za/car-price-guide-view/volkswagen-tiguan-allspace-1-4tsi-110kw/Vm9sa3N3YWdlbiBUaWd1YW4gQWxsc3BhY2UgMS40VFNJIDExMGtX/?price=629200" xr:uid="{58269892-D547-4F2E-80A5-A1F49507503B}"/>
    <hyperlink ref="B199" r:id="rId198" display="https://www.carmag.co.za/car-price-guide-view/proton-x70-1-5t-executive-awd/UHJvdG9uIFg3MCAxLjVUIEV4ZWN1dGl2ZSBBV0Q=/?price=629900" xr:uid="{1D473EEA-5811-4409-88EC-901E85D62ECD}"/>
    <hyperlink ref="B200" r:id="rId199" display="https://www.carmag.co.za/car-price-guide-view/haval-h6-gt-2-0gdit-4wd-super-luxury/SGF2YWwgSDYgR1QgMi4wR0RJVCA0V0QgU3VwZXIgTHV4dXJ5/?price=629950" xr:uid="{C4584DD4-F1ED-42A4-9152-EFF24B94D571}"/>
    <hyperlink ref="B201" r:id="rId200" display="https://www.carmag.co.za/car-price-guide-view/citroen-c5-aircross-1-6t-feel/Q2l0cm/Dq24gQzUgQWlyY3Jvc3MgMS42VCBGZWVs/?price=633900" xr:uid="{091B9993-E942-41C6-BD8A-149FE66EA6F1}"/>
    <hyperlink ref="B202" r:id="rId201" display="https://www.carmag.co.za/car-price-guide-view/renault-koleos-2-5-dynamique-4wd/UmVuYXVsdCBLb2xlb3MgMi41IER5bmFtaXF1ZSA0V0Q=/?price=634999" xr:uid="{DFA053B3-DE56-4224-8A3B-301587A70818}"/>
    <hyperlink ref="B203" r:id="rId202" display="https://www.carmag.co.za/car-price-guide-view/volkswagen-t-roc-2-0tsi-140kw-4motion-design/Vm9sa3N3YWdlbiBULVJvYyAyLjBUU0kgMTQwa1cgNE1vdGlvbiBEZXNpZ24=/?price=636700" xr:uid="{DBD7DAF8-0E32-4073-8401-AC64F2EDEBB8}"/>
    <hyperlink ref="B204" r:id="rId203" display="https://www.carmag.co.za/car-price-guide-view/nissan-qashqai-1-3t-acenta/Tmlzc2FuIFFhc2hxYWkgMS4zVCBBY2VudGE=/?price=639300" xr:uid="{85CB8505-9B45-42FB-83D9-0DEEDE1E671D}"/>
    <hyperlink ref="B205" r:id="rId204" display="https://www.carmag.co.za/car-price-guide-view/proton-x70-1-5t-premium-x/UHJvdG9uIFg3MCAxLjVUIFByZW1pdW0gWA==/?price=639900" xr:uid="{BA539DB2-1D08-487B-B703-F29D35541FF1}"/>
    <hyperlink ref="B206" r:id="rId205" display="https://www.carmag.co.za/car-price-guide-view/mazda-cx-5-2-0-carbon-edition/TWF6ZGEgQ1gtNSAyLjAgQ2FyYm9uIEVkaXRpb24=/?price=640600" xr:uid="{1895BB5E-F5E5-4AA1-AA9C-9EA27A856D22}"/>
    <hyperlink ref="B207" r:id="rId206" display="https://www.carmag.co.za/car-price-guide-view/mini-cooper-countryman/TUlOSSBDb29wZXIgQ291bnRyeW1hbg==/?price=644940" xr:uid="{6523BC78-777F-44FF-AC69-89B957AA738E}"/>
    <hyperlink ref="B208" r:id="rId207" display="https://www.carmag.co.za/car-price-guide-view/subaru-forester-2-5i-sport-es/U3ViYXJ1IEZvcmVzdGVyIDIuNWktU3BvcnQgRVM=/?price=646000" xr:uid="{7377C5E8-826B-4880-B36B-FF9D88201289}"/>
    <hyperlink ref="B209" r:id="rId208" display="https://www.carmag.co.za/car-price-guide-view/baic-b40-plus-2-0t-city-hunter/QkFJQyBCNDAgUGx1cyAyLjBUIENpdHkgSHVudGVy/?price=649500" xr:uid="{48AA1684-F473-407D-B45B-55B33AAA2309}"/>
    <hyperlink ref="B210" r:id="rId209" display="https://www.carmag.co.za/car-price-guide-view/honda-cr-v-2-0-elegance/SG9uZGEgQ1ItViAyLjAgRWxlZ2FuY2U=/?price=651700" xr:uid="{91020A53-7B0F-4BB4-B163-10053E232F74}"/>
    <hyperlink ref="B211" r:id="rId210" display="https://www.carmag.co.za/car-price-guide-view/toyota-fortuner-2-4gd-6/VG95b3RhIEZvcnR1bmVyIDIuNEdELTY=/?price=653450" xr:uid="{3BF74C62-ED35-43EA-997E-4C3EF8D800A2}"/>
    <hyperlink ref="B212" r:id="rId211" display="https://www.carmag.co.za/car-price-guide-view/volkswagen-tiguan-1-4tsi-110kw-life/Vm9sa3N3YWdlbiBUaWd1YW4gMS40VFNJIDExMGtXIExpZmU=/?price=658200" xr:uid="{B4870C72-0EBD-4295-9219-DF9E53728F42}"/>
    <hyperlink ref="B213" r:id="rId212" display="https://www.carmag.co.za/car-price-guide-view/toyota-rav4-2-0-gx-r-awd/VG95b3RhIFJBVjQgMi4wIEdYLVIgQVdE/?price=658500" xr:uid="{49AA437F-AD20-4EDC-8BFD-9C4E4786DBD7}"/>
    <hyperlink ref="B214" r:id="rId213" display="https://www.carmag.co.za/car-price-guide-view/nissan-x-trail-1-6dci-4x4-tekna/Tmlzc2FuIFgtVHJhaWwgMS42ZENpIDR4NCBUZWtuYQ==/?price=660000" xr:uid="{387C02AD-7718-4CD7-BDB3-CE204D636D28}"/>
    <hyperlink ref="B215" r:id="rId214" display="https://www.carmag.co.za/car-price-guide-view/peugeot-3008-1-6t-allure/UGV1Z2VvdCAzMDA4IDEuNlQgQWxsdXJl/?price=664900" xr:uid="{63F93433-7BB0-4B1C-BFFD-BB9FD703D25C}"/>
    <hyperlink ref="B216" r:id="rId215" display="https://www.carmag.co.za/car-price-guide-view/kia-sportage-1-6t-gdi-gt-line/S2lhIFNwb3J0YWdlIDEuNlQtR0RpIEdUIExpbmU=/?price=664995" xr:uid="{5D995A7F-D396-4635-A140-613B20D486B8}"/>
    <hyperlink ref="B217" r:id="rId216" display="https://www.carmag.co.za/car-price-guide-view/baic-b40-plus-2-0t-champion/QkFJQyBCNDAgUGx1cyAyLjBUIENoYW1waW9u/?price=669500" xr:uid="{2FC2FA04-34C4-4C4D-BBC2-278003FD6604}"/>
    <hyperlink ref="B218" r:id="rId217" display="https://www.carmag.co.za/car-price-guide-view/hyundai-tucson-2-0-elite/SHl1bmRhaSBUdWNzb24gMi4wIEVsaXRl/?price=669900" xr:uid="{C6ED8130-1561-4E1A-89EA-8243151373D1}"/>
    <hyperlink ref="B219" r:id="rId218" display="https://www.carmag.co.za/car-price-guide-view/haval-h6-1-5t-hev-ultra-luxury/SGF2YWwgSDYgMS41VCBIRVYgVWx0cmEgTHV4dXJ5/?price=669950" xr:uid="{877CC11B-2F23-4F80-8D7D-B2D21B283CAA}"/>
    <hyperlink ref="B220" r:id="rId219" display="https://www.carmag.co.za/car-price-guide-view/volkswagen-t-roc-2-0tsi-140kw-4motion-r-line/Vm9sa3N3YWdlbiBULVJvYyAyLjBUU0kgMTQwa1cgNE1vdGlvbiBSLUxpbmU=/?price=670300" xr:uid="{1E697F22-C114-40AD-B367-726A8202BD11}"/>
    <hyperlink ref="B221" r:id="rId220" display="https://www.carmag.co.za/car-price-guide-view/nissan-qashqai-1-3t-acenta-plus/Tmlzc2FuIFFhc2hxYWkgMS4zVCBBY2VudGEgUGx1cw==/?price=670600" xr:uid="{917E74B6-A55F-448D-8541-924871E0DDB2}"/>
    <hyperlink ref="B222" r:id="rId221" display="https://www.carmag.co.za/car-price-guide-view/toyota-rav4-2-0-vx/VG95b3RhIFJBVjQgMi4wIFZY/?price=671600" xr:uid="{66A80C78-0E24-4A05-B968-188F63EED6A5}"/>
    <hyperlink ref="B223" r:id="rId222" display="https://www.carmag.co.za/car-price-guide-view/audi-q3-35tfsi/QXVkaSBRMyAzNVRGU0k=/?price=674400" xr:uid="{502317E1-E9DE-4DA2-B48B-20CA3D784A2B}"/>
    <hyperlink ref="B224" r:id="rId223" display="https://www.carmag.co.za/car-price-guide-view/nissan-x-trail-2-5-4x4-tekna/Tmlzc2FuIFgtVHJhaWwgMi41IDR4NCBUZWtuYQ==/?price=674900" xr:uid="{B04ECE02-959D-45F1-963D-A4E3F59B21BE}"/>
    <hyperlink ref="B225" r:id="rId224" display="https://www.carmag.co.za/car-price-guide-view/toyota-fortuner-2-4gd-6-auto/VG95b3RhIEZvcnR1bmVyIDIuNEdELTYgYXV0bw==/?price=677450" xr:uid="{AEEA897B-FDBA-4A22-B8C5-F033F9037E6D}"/>
    <hyperlink ref="B226" r:id="rId225" display="https://www.carmag.co.za/car-price-guide-view/volvo-xc40-b3-essential/Vm9sdm8gWEM0MCBCMyBFc3NlbnRpYWw=/?price=677700" xr:uid="{E75EE57E-BFA7-4698-8BA8-A9D302149F1D}"/>
    <hyperlink ref="B227" r:id="rId226" display="https://www.carmag.co.za/car-price-guide-view/citroen-c5-aircross-1-6t-shine/Q2l0cm/Dq24gQzUgQWlyY3Jvc3MgMS42VCBTaGluZQ==/?price=683900" xr:uid="{ACFF8858-E8D0-4656-8F4B-58C0A548C484}"/>
    <hyperlink ref="B228" r:id="rId227" display="https://www.carmag.co.za/car-price-guide-view/kia-sportage-1-6t-gdi-gt-line-plus/S2lhIFNwb3J0YWdlIDEuNlQtR0RpIEdUIExpbmUgUGx1cw==/?price=692995" xr:uid="{716813E9-6000-4B4D-BE89-55E8964B3B02}"/>
    <hyperlink ref="B229" r:id="rId228" display="https://www.carmag.co.za/car-price-guide-view/toyota-rav4-2-5-hybrid-gx-r-e-four/VG95b3RhIFJBVjQgMi41IEh5YnJpZCBHWC1SIEUtRm91cg==/?price=698700" xr:uid="{DB8AD8C8-5D35-4B4D-9030-D65574EF5F69}"/>
    <hyperlink ref="B230" r:id="rId229" display="https://www.carmag.co.za/car-price-guide-view/opel-grandland-x-1-6t-elegance/T3BlbCBHcmFuZGxhbmQgWCAxLjZUIEVsZWdhbmNl/?price=701900" xr:uid="{E40A7256-7CE1-4895-8361-2807E97E44E9}"/>
    <hyperlink ref="B231" r:id="rId230" display="https://www.carmag.co.za/car-price-guide-view/subaru-forester-2-5i-s-es/U3ViYXJ1IEZvcmVzdGVyIDIuNWktUyBFUw==/?price=708000" xr:uid="{47925C2D-9CF6-4DD1-A455-4590BA2DEC3F}"/>
    <hyperlink ref="B232" r:id="rId231" display="https://www.carmag.co.za/car-price-guide-view/audi-q3-35tfsi-s-line/QXVkaSBRMyAzNVRGU0kgUyBsaW5l/?price=708400" xr:uid="{1AA56B4E-C178-4041-83D5-7ABD4B33F6DA}"/>
    <hyperlink ref="B233" r:id="rId232" display="https://www.carmag.co.za/car-price-guide-view/toyota-fortuner-2-4gd-6-4x4/VG95b3RhIEZvcnR1bmVyIDIuNEdELTYgNHg0/?price=709750" xr:uid="{2E806495-9F7E-4688-A3E7-780EAC90721C}"/>
    <hyperlink ref="B234" r:id="rId233" display="https://www.carmag.co.za/car-price-guide-view/volkswagen-tiguan-allspace-1-4tsi-110kw-life/Vm9sa3N3YWdlbiBUaWd1YW4gQWxsc3BhY2UgMS40VFNJIDExMGtXIExpZmU=/?price=712800" xr:uid="{947BB199-951F-4C67-B4E6-22A6F400E073}"/>
    <hyperlink ref="B235" r:id="rId234" display="https://www.carmag.co.za/car-price-guide-view/volvo-xc40-b4-essential/Vm9sdm8gWEM0MCBCNCBFc3NlbnRpYWw=/?price=718900" xr:uid="{75CD856A-DBDD-4C37-BF95-79B08E2A6B29}"/>
    <hyperlink ref="B236" r:id="rId235" display="https://www.carmag.co.za/car-price-guide-view/volkswagen-tiguan-1-4tsi-110kw-r-line/Vm9sa3N3YWdlbiBUaWd1YW4gMS40VFNJIDExMGtXIFItTGluZQ==/?price=722300" xr:uid="{8C79107B-DBAE-49D4-AD38-B74D0CEB5453}"/>
    <hyperlink ref="B237" r:id="rId236" display="https://www.carmag.co.za/car-price-guide-view/mitsubishi-pajero-sport-2-4di-d/TWl0c3ViaXNoaSBQYWplcm8gU3BvcnQgMi40REktRA==/?price=724990" xr:uid="{8C711CE4-2215-4E5C-B3B9-6ED4157A0308}"/>
    <hyperlink ref="B238" r:id="rId237" display="https://www.carmag.co.za/car-price-guide-view/isuzu-mu-x-3-0td-ls/SXN1enUgbXUtWCAzLjBURCBMUw==/?price=725500" xr:uid="{08A594F4-DA72-4492-88E0-63DE0961E300}"/>
    <hyperlink ref="B239" r:id="rId238" display="https://www.carmag.co.za/car-price-guide-view/volvo-xc40-b3-plus-dark/Vm9sdm8gWEM0MCBCMyBQbHVzIERhcms=/?price=728400" xr:uid="{88B17465-7843-4FBC-982B-CB1DE537A959}"/>
    <hyperlink ref="B240" r:id="rId239" display="https://www.carmag.co.za/car-price-guide-view/mazda-cx-5-2-5-awd-individual/TWF6ZGEgQ1gtNSAyLjUgQVdEIEluZGl2aWR1YWw=/?price=729500" xr:uid="{84709E7A-F322-4836-A7CB-4E98E796C99F}"/>
    <hyperlink ref="B241" r:id="rId240" display="https://www.carmag.co.za/car-price-guide-view/audi-q3-sportback-35tfsi-s-line/QXVkaSBRMyBTcG9ydGJhY2sgMzVURlNJIFMgbGluZQ==/?price=734000" xr:uid="{A364A125-476A-4E60-954D-EB69648D03BC}"/>
    <hyperlink ref="B242" r:id="rId241" display="https://www.carmag.co.za/car-price-guide-view/hyundai-tucson-2-0d-elite/SHl1bmRhaSBUdWNzb24gMi4wRCBFbGl0ZQ==/?price=734900" xr:uid="{2F2EE660-D447-42C1-8EC4-19AF0B734488}"/>
    <hyperlink ref="B243" r:id="rId242" display="https://www.carmag.co.za/car-price-guide-view/volvo-xc40-b3-plus-bright/Vm9sdm8gWEM0MCBCMyBQbHVzIEJyaWdodA==/?price=736700" xr:uid="{05B0B715-A4B0-4551-969C-B73905D9BCB7}"/>
    <hyperlink ref="B244" r:id="rId243" display="https://www.carmag.co.za/car-price-guide-view/honda-cr-v-1-5t-executive/SG9uZGEgQ1ItViAxLjVUIEV4ZWN1dGl2ZQ==/?price=737700" xr:uid="{CECB26F5-64F2-4FEF-9B5F-4213C0F28726}"/>
    <hyperlink ref="B245" r:id="rId244" display="https://www.carmag.co.za/car-price-guide-view/peugeot-3008-1-6t-gt/UGV1Z2VvdCAzMDA4IDEuNlQgR1Q=/?price=739900" xr:uid="{714CAE26-45AF-4216-917D-E512841ED7F2}"/>
    <hyperlink ref="B246" r:id="rId245" display="https://www.carmag.co.za/car-price-guide-view/audi-q3-40tfsi-quattro-advanced/QXVkaSBRMyA0MFRGU0kgcXVhdHRybyBBZHZhbmNlZA==/?price=741900" xr:uid="{0EA66DC0-1263-4281-9BD3-55CA29AC6EF4}"/>
    <hyperlink ref="B247" r:id="rId246" display="https://www.carmag.co.za/car-price-guide-view/mitsubishi-pajero-sport-2-4di-d-aspire/TWl0c3ViaXNoaSBQYWplcm8gU3BvcnQgMi40REktRCBBc3BpcmU=/?price=744990" xr:uid="{C10BA123-DF4A-4AED-B0BD-2E2408A86798}"/>
    <hyperlink ref="B248" r:id="rId247" display="https://www.carmag.co.za/car-price-guide-view/bmw-x2-sdrive18i-m-sport/Qk1XIFgyIHNEcml2ZTE4aSBNIFNwb3J0/?price=747286" xr:uid="{90E52049-51AD-4719-8367-A6FF2A03432D}"/>
    <hyperlink ref="B249" r:id="rId248" display="https://www.carmag.co.za/car-price-guide-view/mini-cooper-s-countryman/TUlOSSBDb29wZXIgUyBDb3VudHJ5bWFu/?price=748981" xr:uid="{171F0339-82E5-4D12-8F89-C939C15EE61E}"/>
    <hyperlink ref="B250" r:id="rId249" display="https://www.carmag.co.za/car-price-guide-view/kia-sportage-1-6t-gdi-gt-line-s/S2lhIFNwb3J0YWdlIDEuNlQtR0RpIEdUIExpbmUgUw==/?price=749995" xr:uid="{2CCB8EFC-57C9-454D-9671-3A95C1858A21}"/>
    <hyperlink ref="B251" r:id="rId250" display="https://www.carmag.co.za/car-price-guide-view/bmw-x1-sdrive18i-xline/Qk1XIFgxIHNEcml2ZTE4aSB4TGluZQ==/?price=753045" xr:uid="{D335998F-D052-4C58-8614-C94AB647FD1F}"/>
    <hyperlink ref="B252" r:id="rId251" display="https://www.carmag.co.za/car-price-guide-view/audi-q3-40tfsi-quattro-s-line/QXVkaSBRMyA0MFRGU0kgcXVhdHRybyBTIGxpbmU=/?price=755900" xr:uid="{B964D174-D536-48A8-934D-16378D2004FB}"/>
    <hyperlink ref="B253" r:id="rId252" display="https://www.carmag.co.za/car-price-guide-view/toyota-rav4-2-5-vx-awd/VG95b3RhIFJBVjQgMi41IFZYIEFXRA==/?price=763100" xr:uid="{23F4AA4A-0142-4903-A516-CD62AF49B4C9}"/>
    <hyperlink ref="B254" r:id="rId253" display="https://www.carmag.co.za/car-price-guide-view/mini-cooper-s-countryman-untamed-edition/TUlOSSBDb29wZXIgUyBDb3VudHJ5bWFuIFVudGFtZWQgRWRpdGlvbg==/?price=764581" xr:uid="{1A4C1AC8-7555-42DD-9318-045EAF6537CD}"/>
    <hyperlink ref="B255" r:id="rId254" display="https://www.carmag.co.za/car-price-guide-view/mazda-cx-5-2-2de-awd-akera/TWF6ZGEgQ1gtNSAyLjJERSBBV0QgQWtlcmE=/?price=765300" xr:uid="{C89B7AD0-E2D1-4703-816A-C34CF8C15B64}"/>
    <hyperlink ref="B256" r:id="rId255" display="https://www.carmag.co.za/car-price-guide-view/volkswagen-tiguan-allspace-1-4tsi-110kw-r-line/Vm9sa3N3YWdlbiBUaWd1YW4gQWxsc3BhY2UgMS40VFNJIDExMGtXIFItTGluZQ==/?price=767400" xr:uid="{D39DEACB-D61A-4603-B5D9-8D575041848B}"/>
    <hyperlink ref="B257" r:id="rId256" display="https://www.carmag.co.za/car-price-guide-view/volvo-xc40-b4-plus-dark/Vm9sdm8gWEM0MCBCNCBQbHVzIERhcms=/?price=769700" xr:uid="{426D44A2-8DCD-4CEB-94DB-E8BAA399548F}"/>
    <hyperlink ref="B258" r:id="rId257" display="https://www.carmag.co.za/car-price-guide-view/volkswagen-tiguan-allspace-2-0tsi-132kw-4motion-style/Vm9sa3N3YWdlbiBUaWd1YW4gQWxsc3BhY2UgMi4wVFNJIDEzMmtXIDRNb3Rpb24gU3R5bGU=/?price=774100" xr:uid="{A1FF0FCE-5C14-413C-8E7D-89BEE85B5B90}"/>
    <hyperlink ref="B259" r:id="rId258" display="https://www.carmag.co.za/car-price-guide-view/mitsubishi-pajero-sport-2-4di-d-4x4/TWl0c3ViaXNoaSBQYWplcm8gU3BvcnQgMi40REktRCA0eDQ=/?price=774990" xr:uid="{FE2DAF86-B06D-4DD4-A8C1-C210DF7C4557}"/>
    <hyperlink ref="B260" r:id="rId259" display="https://www.carmag.co.za/car-price-guide-view/volvo-xc40-b4-plus-bright/Vm9sdm8gWEM0MCBCNCBQbHVzIEJyaWdodA==/?price=777900" xr:uid="{4081DCE4-806F-42AF-8D67-A2FE5DB3135E}"/>
    <hyperlink ref="B261" r:id="rId260" display="https://www.carmag.co.za/car-price-guide-view/hyundai-kona-n/SHl1bmRhaSBLb25hIE4=/?price=779900" xr:uid="{5BF43EA4-FA25-4D50-8EE3-5A16197EB961}"/>
    <hyperlink ref="B262" r:id="rId261" display="https://www.carmag.co.za/car-price-guide-view/audi-q3-sportback-40tfsi-quattro-s-line/QXVkaSBRMyBTcG9ydGJhY2sgNDBURlNJIHF1YXR0cm8gUyBsaW5l/?price=781500" xr:uid="{780D53FA-2DFC-4602-92EE-0DFF519E5172}"/>
    <hyperlink ref="B263" r:id="rId262" display="https://www.carmag.co.za/car-price-guide-view/peugeot-5008-1-6t-gt/UGV1Z2VvdCA1MDA4IDEuNlQgR1Q=/?price=782900" xr:uid="{E000FBBE-F765-4481-AF47-4F75A05D50BE}"/>
    <hyperlink ref="B264" r:id="rId263" display="https://www.carmag.co.za/car-price-guide-view/toyota-rav4-2-5-hybrid-vx-e-four/VG95b3RhIFJBVjQgMi41IEh5YnJpZCBWWCBFLUZvdXI=/?price=785400" xr:uid="{7EA46139-02D9-4D2D-BC50-0809AC27C05F}"/>
    <hyperlink ref="B265" r:id="rId264" display="https://www.carmag.co.za/car-price-guide-view/bmw-x2-sdrive20i-m-sport/Qk1XIFgyIHNEcml2ZTIwaSBNIFNwb3J0/?price=786527" xr:uid="{522D10EE-AE0A-42F2-A790-4A3D6DD082AC}"/>
    <hyperlink ref="B266" r:id="rId265" display="https://www.carmag.co.za/car-price-guide-view/bmw-x1-sdrive18d-xline/Qk1XIFgxIHNEcml2ZTE4ZCB4TGluZQ==/?price=790617" xr:uid="{DCDAC6EC-C49C-4A93-BB44-D5FC8B80517A}"/>
    <hyperlink ref="B267" r:id="rId266" display="https://www.carmag.co.za/car-price-guide-view/bmw-x1-sdrive18i-m-sport/Qk1XIFgxIHNEcml2ZTE4aSBNIFNwb3J0/?price=793045" xr:uid="{350AAD4D-1453-48F8-9DB9-703C19AFB658}"/>
    <hyperlink ref="B268" r:id="rId267" display="https://www.carmag.co.za/car-price-guide-view/toyota-fortuner-2-8gd-6/VG95b3RhIEZvcnR1bmVyIDIuOEdELTY=/?price=794600" xr:uid="{8BD0403A-EF25-4DB9-9BF2-4F5139D56912}"/>
    <hyperlink ref="B269" r:id="rId268" display="https://www.carmag.co.za/car-price-guide-view/volkswagen-tiguan-2-0tdi-130kw-4motion-r-line/Vm9sa3N3YWdlbiBUaWd1YW4gMi4wVERJIDEzMGtXIDRNb3Rpb24gUi1MaW5l/?price=794800" xr:uid="{BAE3CCB7-A747-4ED2-A820-7C1F05376A1A}"/>
    <hyperlink ref="B270" r:id="rId269" display="https://www.carmag.co.za/car-price-guide-view/mitsubishi-pajero-sport-2-4di-d-4x4-aspire/TWl0c3ViaXNoaSBQYWplcm8gU3BvcnQgMi40REktRCA0eDQgQXNwaXJl/?price=794990" xr:uid="{A939FD40-22D5-4824-B0A5-75E7EB60584B}"/>
    <hyperlink ref="B271" r:id="rId270" display="https://www.carmag.co.za/car-price-guide-view/isuzu-mu-x-3-0td-lse/SXN1enUgbXUtWCAzLjBURCBMU0U=/?price=795000" xr:uid="{EB5128F1-0707-4CA2-8AE5-15B94D334E61}"/>
    <hyperlink ref="B272" r:id="rId271" display="https://www.carmag.co.za/car-price-guide-view/volkswagen-tiguan-2-0tsi-162kw-4motion-r-line/Vm9sa3N3YWdlbiBUaWd1YW4gMi4wVFNJIDE2MmtXIDRNb3Rpb24gUi1MaW5l/?price=795900" xr:uid="{968472ED-1DA3-41C8-A90E-B0A10E81FE5E}"/>
    <hyperlink ref="B273" r:id="rId272" display="https://www.carmag.co.za/car-price-guide-view/alfa-romeo-tonale-1-5t-hybrid-speciale/QWxmYSBSb21lbyBUb25hbGUgMS41VCBIeWJyaWQgU3BlY2lhbGU=/?price=799900" xr:uid="{F70B483D-640B-487E-9A3D-E0C252B785F9}"/>
    <hyperlink ref="B274" r:id="rId273" display="https://www.carmag.co.za/car-price-guide-view/isuzu-mu-x-3-0td-ls-4x4/SXN1enUgbXUtWCAzLjBURCBMUyA0eDQ=/?price=806400" xr:uid="{CAC260B8-34E6-4873-871F-15C5AAB72CEF}"/>
    <hyperlink ref="B275" r:id="rId274" display="https://www.carmag.co.za/car-price-guide-view/lexus-ux-250h-ex/TGV4dXMgVVggMjUwaCBFWA==/?price=808600" xr:uid="{C0540C8B-1706-4A03-B10D-438EDDEB507D}"/>
    <hyperlink ref="B276" r:id="rId275" display="https://www.carmag.co.za/car-price-guide-view/mitsubishi-pajero-sport-2-4di-d-4x4-exceed/TWl0c3ViaXNoaSBQYWplcm8gU3BvcnQgMi40REktRCA0eDQgRXhjZWVk/?price=809990" xr:uid="{BBE376A9-055C-4A15-9BFA-7522FE4AB9AA}"/>
    <hyperlink ref="B277" r:id="rId276" display="https://www.carmag.co.za/car-price-guide-view/toyota-fj-cruiser/VG95b3RhIEZKIENydWlzZXI=/?price=813000" xr:uid="{EDFA5F21-3D30-4FC2-BFAA-9DAB2FA71212}"/>
    <hyperlink ref="B278" r:id="rId277" display="https://www.carmag.co.za/car-price-guide-view/toyota-land-cruiser-78-4-2d-wagon/VG95b3RhIExhbmQgQ3J1aXNlciA3OCA0LjJEIFdhZ29u/?price=818300" xr:uid="{C2CE45AE-B98D-471C-9EBF-CF4153760758}"/>
    <hyperlink ref="B279" r:id="rId278" display="https://www.carmag.co.za/car-price-guide-view/honda-cr-v-1-5t-exclusive-awd/SG9uZGEgQ1ItViAxLjVUIEV4Y2x1c2l2ZSBBV0Q=/?price=818700" xr:uid="{6C43A5F4-4218-4102-8393-8DB360BCA7E9}"/>
    <hyperlink ref="B280" r:id="rId279" display="https://www.carmag.co.za/car-price-guide-view/alfa-romeo-tonale-1-5t-hybrid-veloce/QWxmYSBSb21lbyBUb25hbGUgMS41VCBIeWJyaWQgVmVsb2Nl/?price=819900" xr:uid="{AA2B8AFC-4B2E-4305-BF56-493B350DE261}"/>
    <hyperlink ref="B281" r:id="rId280" display="https://www.carmag.co.za/car-price-guide-view/bmw-x1-sdrive18d-m-sport/Qk1XIFgxIHNEcml2ZTE4ZCBNIFNwb3J0/?price=830617" xr:uid="{F98BB85F-56BA-426F-B0C0-891146E9D316}"/>
    <hyperlink ref="B282" r:id="rId281" display="https://www.carmag.co.za/car-price-guide-view/kia-sorento-2-2crdi-ex/S2lhIFNvcmVudG8gMi4yQ1JEaSBFWCs=/?price=834995" xr:uid="{BE5258FE-FC21-48A9-A3B7-B690813E1698}"/>
    <hyperlink ref="B283" r:id="rId282" display="https://www.carmag.co.za/car-price-guide-view/toyota-fortuner-2-8gd-6-vx/VG95b3RhIEZvcnR1bmVyIDIuOEdELTYgVlg=/?price=837800" xr:uid="{32246A7A-8E81-419F-B576-F50916B400ED}"/>
    <hyperlink ref="B284" r:id="rId283" display="https://www.carmag.co.za/car-price-guide-view/volkswagen-tiguan-allspace-2-0tsi-162kw-4motion-r-line/Vm9sa3N3YWdlbiBUaWd1YW4gQWxsc3BhY2UgMi4wVFNJIDE2MmtXIDRNb3Rpb24gUi1MaW5l/?price=838300" xr:uid="{1C20C0BE-933F-49D7-8B5E-3EF1146EEE34}"/>
    <hyperlink ref="B285" r:id="rId284" display="https://www.carmag.co.za/car-price-guide-view/volvo-xc40-b5-awd-plus-dark/Vm9sdm8gWEM0MCBCNSBBV0QgUGx1cyBEYXJr/?price=840000" xr:uid="{29C9C01B-7369-4583-86B8-270B19F2E227}"/>
    <hyperlink ref="B286" r:id="rId285" display="https://www.carmag.co.za/car-price-guide-view/mercedes-benz-gla200-progressive/TWVyY2VkZXMtQmVueiBHTEEyMDAgUHJvZ3Jlc3NpdmU=/?price=847226" xr:uid="{9E0A5C84-A4FA-417F-99E1-EA98938D69D3}"/>
    <hyperlink ref="B287" r:id="rId286" display="https://www.carmag.co.za/car-price-guide-view/volvo-xc40-b5-awd-plus-bright/Vm9sdm8gWEM0MCBCNSBBV0QgUGx1cyBCcmlnaHQ=/?price=847400" xr:uid="{8E5A9955-95E0-483A-BD33-28DF510BFE60}"/>
    <hyperlink ref="B288" r:id="rId287" display="https://www.carmag.co.za/car-price-guide-view/hyundai-santa-fe-2-2d-executive/SHl1bmRhaSBTYW50YSBGZSAyLjJEIEV4ZWN1dGl2ZQ==/?price=856900" xr:uid="{AF94EE17-3C44-414D-BEAD-D710AFF591B8}"/>
    <hyperlink ref="B289" r:id="rId288" display="https://www.carmag.co.za/car-price-guide-view/toyota-fortuner-2-8gd-6-4x4/VG95b3RhIEZvcnR1bmVyIDIuOEdELTYgNHg0/?price=873500" xr:uid="{E2AB0215-39DD-4522-80CC-BE7AD81D9803}"/>
    <hyperlink ref="B290" r:id="rId289" display="https://www.carmag.co.za/car-price-guide-view/kia-sorento-2-2crdi-awd-ex/S2lhIFNvcmVudG8gMi4yQ1JEaSBBV0QgRVgr/?price=874995" xr:uid="{7793B7D5-DB7D-4F0A-B695-66A3706430F3}"/>
    <hyperlink ref="B291" r:id="rId290" display="https://www.carmag.co.za/car-price-guide-view/mercedes-benz-gla200-amg-line/TWVyY2VkZXMtQmVueiBHTEEyMDAgQU1HIExpbmU=/?price=876226" xr:uid="{3E789385-CB47-4411-A308-8E7A46B69F97}"/>
    <hyperlink ref="B292" r:id="rId291" display="https://www.carmag.co.za/car-price-guide-view/mercedes-benz-gla200d-progressive/TWVyY2VkZXMtQmVueiBHTEEyMDBkIFByb2dyZXNzaXZl/?price=883568" xr:uid="{30D168AE-DE25-4B3D-B698-9069AAE9E49F}"/>
    <hyperlink ref="B293" r:id="rId292" display="https://www.carmag.co.za/car-price-guide-view/lexus-ux-250h-se/TGV4dXMgVVggMjUwaCBTRQ==/?price=891800" xr:uid="{BF115ED8-85FD-4CCC-8B6E-CF40ABABF2A5}"/>
    <hyperlink ref="B294" r:id="rId293" display="https://www.carmag.co.za/car-price-guide-view/isuzu-mu-x-3-0td-onyx-4x4/SXN1enUgbXUtWCAzLjBURCBPbnl4IDR4NA==/?price=895900" xr:uid="{E23EC1A0-6C69-497D-9E03-FC6B198538DE}"/>
    <hyperlink ref="B295" r:id="rId294" display="https://www.carmag.co.za/car-price-guide-view/lexus-nx-250-awd-ex/TGV4dXMgTlggMjUwIEFXRCBFWA==/?price=912400" xr:uid="{C68A93BA-CEB7-43F8-83B8-EF6F515BB86B}"/>
    <hyperlink ref="B296" r:id="rId295" display="https://www.carmag.co.za/car-price-guide-view/mercedes-benz-gla200d-amg-line/TWVyY2VkZXMtQmVueiBHTEEyMDBkIEFNRyBMaW5l/?price=912568" xr:uid="{855978CE-C003-4554-95A8-2C014AD7DBB6}"/>
    <hyperlink ref="B297" r:id="rId296" display="https://www.carmag.co.za/car-price-guide-view/toyota-fortuner-2-8gd-6-4x4-vx/VG95b3RhIEZvcnR1bmVyIDIuOEdELTYgNHg0IFZY/?price=915400" xr:uid="{6EB3626C-A979-42FD-A272-66CE24D39F6B}"/>
    <hyperlink ref="B298" r:id="rId297" display="https://www.carmag.co.za/car-price-guide-view/kia-sorento-2-2crdi-awd-sx/S2lhIFNvcmVudG8gMi4yQ1JEaSBBV0QgU1g=/?price=939995" xr:uid="{AB1EDE15-2899-4AA6-B9E5-F8B348514CD1}"/>
    <hyperlink ref="B299" r:id="rId298" display="https://www.carmag.co.za/car-price-guide-view/lexus-nx-350h-awd-ex/TGV4dXMgTlggMzUwaCBBV0QgRVg=/?price=942700" xr:uid="{66237715-DC1B-4194-BFB1-0A01D64C0FCF}"/>
    <hyperlink ref="B300" r:id="rId299" display="https://www.carmag.co.za/car-price-guide-view/audi-q5-40tdi-quattro/QXVkaSBRNSA0MFRESSBxdWF0dHJv/?price=944700" xr:uid="{47252B45-4913-4E1E-B81D-E53AC214D4B0}"/>
    <hyperlink ref="B301" r:id="rId300" display="https://www.carmag.co.za/car-price-guide-view/lexus-ux-250h-f-sport/TGV4dXMgVVggMjUwaCBGIFNwb3J0/?price=947500" xr:uid="{478799A8-F52C-4461-884F-2C2156684590}"/>
    <hyperlink ref="B302" r:id="rId301" display="https://www.carmag.co.za/car-price-guide-view/mini-john-cooper-works-all4-countryman/TUlOSSBKb2huIENvb3BlciBXb3JrcyBBTEw0IENvdW50cnltYW4=/?price=953739" xr:uid="{0B669091-A934-4F68-AEE4-EA3CFCF64787}"/>
    <hyperlink ref="B303" r:id="rId302" display="https://www.carmag.co.za/car-price-guide-view/bmw-x3-sdrive18d/Qk1XIFgzIHNEcml2ZTE4ZA==/?price=957224" xr:uid="{95D0DA1C-1079-4F08-B91A-DEB46F8BCCB6}"/>
    <hyperlink ref="B304" r:id="rId303" display="https://www.carmag.co.za/car-price-guide-view/volvo-xc60-b5-awd-essential/Vm9sdm8gWEM2MCBCNSBBV0QgRXNzZW50aWFs/?price=957900" xr:uid="{48510D26-5F3B-40A1-A82B-F00FD98A0606}"/>
    <hyperlink ref="B305" r:id="rId304" display="https://www.carmag.co.za/car-price-guide-view/bmw-x2-m35i/Qk1XIFgyIE0zNWk=/?price=961081" xr:uid="{388B1810-95C5-43A0-AFA6-495C4A75A679}"/>
    <hyperlink ref="B306" r:id="rId305" display="https://www.carmag.co.za/car-price-guide-view/toyota-land-cruiser-76-4-5d-4d-lx-v8-station-wagon/VG95b3RhIExhbmQgQ3J1aXNlciA3NiA0LjVELTREIExYIFY4IFN0YXRpb24gV2Fnb24=/?price=963400" xr:uid="{E037A67A-4D24-451B-BE1A-D91B3E575626}"/>
    <hyperlink ref="B307" r:id="rId306" display="https://www.carmag.co.za/car-price-guide-view/hyundai-santa-fe-2-2d-4wd-elite/SHl1bmRhaSBTYW50YSBGZSAyLjJEIDRXRCBFbGl0ZQ==/?price=964900" xr:uid="{36CB9F69-759C-4C82-A824-4F0ED318DE9D}"/>
    <hyperlink ref="B308" r:id="rId307" display="https://www.carmag.co.za/car-price-guide-view/ford-everest-2-0-biturbo-4x4-sport/Rm9yZCBFdmVyZXN0IDIuMCBCaVR1cmJvIDR4NCBTcG9ydA==/?price=965400" xr:uid="{7812E7F8-CB57-46C6-BC6B-BC337736D13D}"/>
    <hyperlink ref="B309" r:id="rId308" display="https://www.carmag.co.za/car-price-guide-view/audi-q5-40tdi-quattro-s-line/QXVkaSBRNSA0MFRESSBxdWF0dHJvIFMgbGluZQ==/?price=989700" xr:uid="{1E357389-F6B5-44AA-BA1E-70120E73FB14}"/>
    <hyperlink ref="B310" r:id="rId309" display="https://www.carmag.co.za/car-price-guide-view/bmw-x3-sdrive18d-m-sport/Qk1XIFgzIHNEcml2ZTE4ZCBNIFNwb3J0/?price=997224" xr:uid="{D5A2C107-D8E5-442A-B86E-EE91F26D4E35}"/>
    <hyperlink ref="B311" r:id="rId310" display="https://www.carmag.co.za/car-price-guide-view/mercedes-benz-glb220d-4matic-progressive/TWVyY2VkZXMtQmVueiBHTEIyMjBkIDRNYXRpYyBQcm9ncmVzc2l2ZQ==/?price=998388" xr:uid="{E9011682-6C9B-4736-84BB-D2C33A83C8A3}"/>
    <hyperlink ref="B312" r:id="rId311" display="https://www.carmag.co.za/car-price-guide-view/volvo-xc60-b5-awd-plus-dark/Vm9sdm8gWEM2MCBCNSBBV0QgUGx1cyBEYXJr/?price=999700" xr:uid="{B85483B1-A581-4B77-A1FA-9B3F8A106C5C}"/>
    <hyperlink ref="B313" r:id="rId312" display="https://www.carmag.co.za/car-price-guide-view/jeep-wrangler-unlimited-3-6-sport/SmVlcCBXcmFuZ2xlciBVbmxpbWl0ZWQgMy42IFNwb3J0/?price=999900" xr:uid="{0CE457F8-AB0A-48E4-A997-A4D9D32B77FD}"/>
    <hyperlink ref="B314" r:id="rId313" display="https://www.carmag.co.za/car-price-guide-view/mercedes-benz-glb250-progressive/TWVyY2VkZXMtQmVueiBHTEIyNTAgUHJvZ3Jlc3NpdmU=/?price=1012287" xr:uid="{230D0B15-07DD-4628-AE45-64D853340346}"/>
    <hyperlink ref="B315" r:id="rId314" display="https://www.carmag.co.za/car-price-guide-view/volkswagen-tiguan-r/Vm9sa3N3YWdlbiBUaWd1YW4gUg==/?price=1014900" xr:uid="{AAB2AC3E-E8A0-4126-BCFD-A18600D90FFE}"/>
    <hyperlink ref="B316" r:id="rId315" display="https://www.carmag.co.za/car-price-guide-view/bmw-x3-sdrive20i/Qk1XIFgzIHNEcml2ZTIwaQ==/?price=1015778" xr:uid="{1E7279C5-8899-480A-99E6-5FC992DA7430}"/>
    <hyperlink ref="B317" r:id="rId316" display="https://www.carmag.co.za/car-price-guide-view/kia-sorento-2-2crdi-awd-sxl/S2lhIFNvcmVudG8gMi4yQ1JEaSBBV0QgU1hM/?price=1019995" xr:uid="{20744BC3-2965-4B22-8607-5EF1EA67ACCA}"/>
    <hyperlink ref="B318" r:id="rId317" display="https://www.carmag.co.za/car-price-guide-view/volvo-xc60-b5-awd-plus-bright/Vm9sdm8gWEM2MCBCNSBBV0QgUGx1cyBCcmlnaHQ=/?price=1025700" xr:uid="{62FEF6C4-E3E2-48B8-A811-A615C293C238}"/>
    <hyperlink ref="B319" r:id="rId318" display="https://www.carmag.co.za/car-price-guide-view/mercedes-benz-glb220d-4matic-amg-line/TWVyY2VkZXMtQmVueiBHTEIyMjBkIDRNYXRpYyBBTUcgTGluZQ==/?price=1036388" xr:uid="{9579CBED-DD4F-4E75-9555-02CBD790B4A7}"/>
    <hyperlink ref="B320" r:id="rId319" display="https://www.carmag.co.za/car-price-guide-view/audi-q5-sportback-40tdi-quattro-advanced/QXVkaSBRNSBTcG9ydGJhY2sgNDBUREkgcXVhdHRybyBBZHZhbmNlZA==/?price=1038700" xr:uid="{21564437-E42E-4AE1-8753-452052783B9E}"/>
    <hyperlink ref="B321" r:id="rId320" display="https://www.carmag.co.za/car-price-guide-view/audi-q5-45tfsi-quattro-s-line/QXVkaSBRNSA0NVRGU0kgcXVhdHRybyBTIGxpbmU=/?price=1048500" xr:uid="{BE70ECBE-827E-4BA0-AC94-1A2FA43A7DC1}"/>
    <hyperlink ref="B322" r:id="rId321" display="https://www.carmag.co.za/car-price-guide-view/jeep-wrangler-3-6-rubicon/SmVlcCBXcmFuZ2xlciAzLjYgUnViaWNvbg==/?price=1049900" xr:uid="{01AD1AFD-3B24-4338-A148-466C8BAA2257}"/>
    <hyperlink ref="B323" r:id="rId322" display="https://www.carmag.co.za/car-price-guide-view/mercedes-benz-glb250-amg-line/TWVyY2VkZXMtQmVueiBHTEIyNTAgQU1HIExpbmU=/?price=1050287" xr:uid="{BDFF8B4B-8497-461E-99CD-E6EB96FDC3C0}"/>
    <hyperlink ref="B324" r:id="rId323" display="https://www.carmag.co.za/car-price-guide-view/bmw-x3-sdrive20i-m-sport/Qk1XIFgzIHNEcml2ZTIwaSBNIFNwb3J0/?price=1055778" xr:uid="{CE3334B5-C640-43E4-9C00-0D015D9C93DC}"/>
    <hyperlink ref="B325" r:id="rId324" display="https://www.carmag.co.za/car-price-guide-view/volvo-xc60-b6-awd-plus-dark/Vm9sdm8gWEM2MCBCNiBBV0QgUGx1cyBEYXJr/?price=1063800" xr:uid="{D265BCA0-0F2D-496B-9F22-E5C672B725B3}"/>
    <hyperlink ref="B326" r:id="rId325" display="https://www.carmag.co.za/car-price-guide-view/bmw-x3-xdrive20d/Qk1XIFgzIHhEcml2ZTIwZA==/?price=1065394" xr:uid="{D0E2ED4B-CE9C-4438-A2D9-B62502B15821}"/>
    <hyperlink ref="B327" r:id="rId326" display="https://www.carmag.co.za/car-price-guide-view/hyundai-palisade-2-2d-4wd-elite/SHl1bmRhaSBQYWxpc2FkZSAyLjJEIDRXRCBFbGl0ZQ==/?price=1066900" xr:uid="{A4D2D3B7-FC96-4CCE-B994-B006B9FB398D}"/>
    <hyperlink ref="B328" r:id="rId327" display="https://www.carmag.co.za/car-price-guide-view/volvo-xc40-p6-recharge-plus/Vm9sdm8gWEM0MCBQNiBSZWNoYXJnZSBQbHVz/?price=1075000" xr:uid="{202CD228-CBA3-47DA-BC56-B106016E92BE}"/>
    <hyperlink ref="B329" r:id="rId328" display="https://www.carmag.co.za/car-price-guide-view/audi-q5-sportback-40tdi-quattro-s-line/QXVkaSBRNSBTcG9ydGJhY2sgNDBUREkgcXVhdHRybyBTIGxpbmU=/?price=1077700" xr:uid="{52337651-B862-4421-8283-7AA40C1350C7}"/>
    <hyperlink ref="B330" r:id="rId329" display="https://www.carmag.co.za/car-price-guide-view/toyota-land-cruiser-prado-2-8gd-tx/VG95b3RhIExhbmQgQ3J1aXNlciBQcmFkbyAyLjhHRCBUWA==/?price=1079700" xr:uid="{EFBF99AC-F9DF-46F5-A0FF-853AF7812A19}"/>
    <hyperlink ref="B331" r:id="rId330" display="https://www.carmag.co.za/car-price-guide-view/jaguar-e-pace-d200-awd-r-dynamic-se/SmFndWFyIEUtUGFjZSBEMjAwIEFXRCBSLUR5bmFtaWMgU0U=/?price=1087000" xr:uid="{F2191675-FC96-4848-BE58-1A4833B9D5D5}"/>
    <hyperlink ref="B332" r:id="rId331" display="https://www.carmag.co.za/car-price-guide-view/volvo-xc60-b6-awd-plus-bright/Vm9sdm8gWEM2MCBCNiBBV0QgUGx1cyBCcmlnaHQ=/?price=1089800" xr:uid="{72E4258E-4760-4761-A892-895EF2C735C3}"/>
    <hyperlink ref="B333" r:id="rId332" display="https://www.carmag.co.za/car-price-guide-view/jeep-wrangler-unlimited-3-6-rubicon/SmVlcCBXcmFuZ2xlciBVbmxpbWl0ZWQgMy42IFJ1Ymljb24=/?price=1099900" xr:uid="{4C49EDD8-8B2E-4B52-90A1-989E2BECE803}"/>
    <hyperlink ref="B334" r:id="rId333" display="https://www.carmag.co.za/car-price-guide-view/lexus-nx-350h-awd-se/TGV4dXMgTlggMzUwaCBBV0QgU0U=/?price=1104100" xr:uid="{6942265E-AB5A-4D7C-9081-DB4E5407FE89}"/>
    <hyperlink ref="B335" r:id="rId334" display="https://www.carmag.co.za/car-price-guide-view/bmw-x3-xdrive20d-m-sport/Qk1XIFgzIHhEcml2ZTIwZCBNIFNwb3J0/?price=1105394" xr:uid="{F3D839A1-37D2-45E4-AF81-C655E18BFBE8}"/>
    <hyperlink ref="B336" r:id="rId335" display="https://www.carmag.co.za/car-price-guide-view/land-rover-discovery-sport-d200-urban-edition/TGFuZCBSb3ZlciBEaXNjb3ZlcnkgU3BvcnQgRDIwMCBVcmJhbiBFZGl0aW9u/?price=1108500" xr:uid="{B43B2FFB-2311-43BF-AECD-40FE6DB46CD8}"/>
    <hyperlink ref="B337" r:id="rId336" display="https://www.carmag.co.za/car-price-guide-view/porsche-macan/UG9yc2NoZSBNYWNhbg==/?price=1112000" xr:uid="{554004A9-88B0-4DAE-B5D6-35CFA5C00257}"/>
    <hyperlink ref="B338" r:id="rId337" display="https://www.carmag.co.za/car-price-guide-view/ford-everest-3-0-v6-4wd-platinum/Rm9yZCBFdmVyZXN0IDMuMCBWNiA0V0QgUGxhdGludW0=/?price=1113100" xr:uid="{CCC98E0A-2708-40F0-BDFD-3B219CBB376E}"/>
    <hyperlink ref="B339" r:id="rId338" display="https://www.carmag.co.za/car-price-guide-view/land-rover-discovery-sport-p250-urban-edition/TGFuZCBSb3ZlciBEaXNjb3ZlcnkgU3BvcnQgUDI1MCBVcmJhbiBFZGl0aW9u/?price=1113600" xr:uid="{023DC563-CF04-4FD3-8C3B-1BCF353B9735}"/>
    <hyperlink ref="B340" r:id="rId339" display="https://www.carmag.co.za/car-price-guide-view/mercedes-benz-glc220d-4matic/TWVyY2VkZXMtQmVueiBHTEMyMjBkIDRNYXRpYw==/?price=1124312" xr:uid="{2980E39E-7548-4485-AB34-791909E806D9}"/>
    <hyperlink ref="B341" r:id="rId340" display="https://www.carmag.co.za/car-price-guide-view/land-rover-discovery-sport-d200-r-dynamic-se/TGFuZCBSb3ZlciBEaXNjb3ZlcnkgU3BvcnQgRDIwMCBSLUR5bmFtaWMgU0U=/?price=1125100" xr:uid="{A8E49D37-4005-429A-8413-6DB9EEDB160D}"/>
    <hyperlink ref="B342" r:id="rId341" display="https://www.carmag.co.za/car-price-guide-view/land-rover-range-rover-evoque-d200-bronze-collection/TGFuZCBSb3ZlciBSYW5nZSBSb3ZlciBFdm9xdWUgRDIwMCBCcm9uemUgQ29sbGVjdGlvbg==/?price=1126400" xr:uid="{623DD8E7-17CF-4061-BE0F-9AA41473E85A}"/>
    <hyperlink ref="B343" r:id="rId342" display="https://www.carmag.co.za/car-price-guide-view/land-rover-discovery-sport-p250-r-dynamic-se/TGFuZCBSb3ZlciBEaXNjb3ZlcnkgU3BvcnQgUDI1MCBSLUR5bmFtaWMgU0U=/?price=1130200" xr:uid="{49F9FDCC-7BF5-4C30-8BBC-0BBB6A852EE6}"/>
    <hyperlink ref="B344" r:id="rId343" display="https://www.carmag.co.za/car-price-guide-view/lexus-nx-350h-awd-f-sport/TGV4dXMgTlggMzUwaCBBV0QgRiBTcG9ydA==/?price=1130400" xr:uid="{C431A7DE-A773-4CE2-BB92-B92DD27F6956}"/>
    <hyperlink ref="B345" r:id="rId344" display="https://www.carmag.co.za/car-price-guide-view/land-rover-range-rover-evoque-p250-bronze-collection/TGFuZCBSb3ZlciBSYW5nZSBSb3ZlciBFdm9xdWUgUDI1MCBCcm9uemUgQ29sbGVjdGlvbg==/?price=1131800" xr:uid="{0F0CE358-7A3B-4FAA-825C-7B6EFF36E471}"/>
    <hyperlink ref="B346" r:id="rId345" display="https://www.carmag.co.za/car-price-guide-view/audi-q5-sportback-45tfsi-quattro-s-line/QXVkaSBRNSBTcG9ydGJhY2sgNDVURlNJIHF1YXR0cm8gUyBsaW5l/?price=1136500" xr:uid="{437E9EF5-EA3B-4D4D-81AB-0BA91232CAE4}"/>
    <hyperlink ref="B347" r:id="rId346" display="https://www.carmag.co.za/car-price-guide-view/lexus-nx-350-awd-f-sport/TGV4dXMgTlggMzUwIEFXRCBGIFNwb3J0/?price=1140900" xr:uid="{8CDA5885-ABE0-4A06-82FB-D40CAA77843B}"/>
    <hyperlink ref="B348" r:id="rId347" display="https://www.carmag.co.za/car-price-guide-view/land-rover-range-rover-evoque-d200-r-dynamic-se/TGFuZCBSb3ZlciBSYW5nZSBSb3ZlciBFdm9xdWUgRDIwMCBSLUR5bmFtaWMgU0U=/?price=1143200" xr:uid="{AE23B319-48C3-4AC4-B3E0-B814EF3CA99B}"/>
    <hyperlink ref="B349" r:id="rId348" display="https://www.carmag.co.za/car-price-guide-view/land-rover-range-rover-evoque-p250-r-dynamic-se/TGFuZCBSb3ZlciBSYW5nZSBSb3ZlciBFdm9xdWUgUDI1MCBSLUR5bmFtaWMgU0U=/?price=1148600" xr:uid="{FCDEADAC-CA4B-425C-9FF0-BEFF68962CC8}"/>
    <hyperlink ref="B350" r:id="rId349" display="https://www.carmag.co.za/car-price-guide-view/bmw-x4-xdrive20d/Qk1XIFg0IHhEcml2ZTIwZA==/?price=1152894" xr:uid="{CF0AF3E7-405C-4629-AD94-548938B16CAF}"/>
    <hyperlink ref="B351" r:id="rId350" display="https://www.carmag.co.za/car-price-guide-view/land-rover-discovery-sport-d200-r-dynamic-hse/TGFuZCBSb3ZlciBEaXNjb3ZlcnkgU3BvcnQgRDIwMCBSLUR5bmFtaWMgSFNF/?price=1154500" xr:uid="{45C59D6E-FAA5-4C6A-B520-161BE98C2ADE}"/>
    <hyperlink ref="B352" r:id="rId351" display="https://www.carmag.co.za/car-price-guide-view/jaguar-e-pace-d200-awd-r-dynamic-hse/SmFndWFyIEUtUGFjZSBEMjAwIEFXRCBSLUR5bmFtaWMgSFNF/?price=1155000" xr:uid="{62049D4D-BC9D-469C-AA1A-DE78261D0810}"/>
    <hyperlink ref="B353" r:id="rId352" display="https://www.carmag.co.za/car-price-guide-view/mercedes-benz-glc220d-coupe-4matic/TWVyY2VkZXMtQmVueiBHTEMyMjBkIENvdXDDqSA0TWF0aWM=/?price=1156053" xr:uid="{E9482F50-F821-4FF0-A73D-14EA309E72A1}"/>
    <hyperlink ref="B354" r:id="rId353" display="https://www.carmag.co.za/car-price-guide-view/land-rover-discovery-sport-p250-r-dynamic-hse/TGFuZCBSb3ZlciBEaXNjb3ZlcnkgU3BvcnQgUDI1MCBSLUR5bmFtaWMgSFNF/?price=1159600" xr:uid="{94D670CC-F5B2-40C9-B9D5-6BE073E1A52B}"/>
    <hyperlink ref="B355" r:id="rId354" display="https://www.carmag.co.za/car-price-guide-view/mercedes-benz-eqa-250-progressive/TWVyY2VkZXMtQmVueiBFUUEgMjUwIFByb2dyZXNzaXZl/?price=1174000" xr:uid="{73EA5E26-6649-49F3-AC3C-487601FC9271}"/>
    <hyperlink ref="B356" r:id="rId355" display="https://www.carmag.co.za/car-price-guide-view/toyota-land-cruiser-prado-4-0-vx/VG95b3RhIExhbmQgQ3J1aXNlciBQcmFkbyA0LjAgVlg=/?price=1183600" xr:uid="{3C27E27C-40B1-48AC-8EDD-DAA2D3361E88}"/>
    <hyperlink ref="B357" r:id="rId356" display="https://www.carmag.co.za/car-price-guide-view/bmw-x4-xdrive20d-m-sport/Qk1XIFg0IHhEcml2ZTIwZCBNIFNwb3J0/?price=1192894" xr:uid="{42979646-AB66-438F-9F68-CBD18A9B6DDC}"/>
    <hyperlink ref="B358" r:id="rId357" display="https://www.carmag.co.za/car-price-guide-view/audi-rsq3-quattro/QXVkaSBSU1EzIHF1YXR0cm8=/?price=1195900" xr:uid="{494BCC02-2212-4FFC-999A-E8D282FF0C85}"/>
    <hyperlink ref="B359" r:id="rId358" display="https://www.carmag.co.za/car-price-guide-view/land-rover-range-rover-evoque-d200-r-dynamic-hse/TGFuZCBSb3ZlciBSYW5nZSBSb3ZlciBFdm9xdWUgRDIwMCBSLUR5bmFtaWMgSFNF/?price=1196500" xr:uid="{587997DE-0977-4242-9601-3F0BCA715E9D}"/>
    <hyperlink ref="B360" r:id="rId359" display="https://www.carmag.co.za/car-price-guide-view/mercedes-benz-glc300d-coupe-4matic/TWVyY2VkZXMtQmVueiBHTEMzMDBkIENvdXDDqSA0TWF0aWM=/?price=1200313" xr:uid="{579EA244-DBA0-4125-99F9-43A658C09B23}"/>
    <hyperlink ref="B361" r:id="rId360" display="https://www.carmag.co.za/car-price-guide-view/land-rover-range-rover-evoque-p250-r-dynamic-hse/TGFuZCBSb3ZlciBSYW5nZSBSb3ZlciBFdm9xdWUgUDI1MCBSLUR5bmFtaWMgSFNF/?price=1201900" xr:uid="{F4B49EE5-247B-45DB-9A97-E3365229EF22}"/>
    <hyperlink ref="B362" r:id="rId361" display="https://www.carmag.co.za/car-price-guide-view/alfa-romeo-stelvio-2-0t-veloce-q4/QWxmYSBSb21lbyBTdGVsdmlvIDIuMFQgVmVsb2NlIFE0/?price=1204900" xr:uid="{5ED9C42A-C9A8-42A0-B74C-4237A51ADD85}"/>
    <hyperlink ref="B363" r:id="rId362" display="https://www.carmag.co.za/car-price-guide-view/lexus-rx-350-ex/TGV4dXMgUlggMzUwIEVY/?price=1206700" xr:uid="{5AAE22E3-322A-4696-B4AF-452F34327018}"/>
    <hyperlink ref="B364" r:id="rId363" display="https://www.carmag.co.za/car-price-guide-view/mercedes-benz-glc220d-4matic-amg-line/TWVyY2VkZXMtQmVueiBHTEMyMjBkIDRNYXRpYyBBTUcgTGluZQ==/?price=1206905" xr:uid="{68CD88CB-8A2B-4FA2-B096-E1C3546373E4}"/>
    <hyperlink ref="B365" r:id="rId364" display="https://www.carmag.co.za/car-price-guide-view/mercedes-benz-glc220d-coupe-4matic-amg-line/TWVyY2VkZXMtQmVueiBHTEMyMjBkIENvdXDDqSA0TWF0aWMgQU1HIExpbmU=/?price=1209953" xr:uid="{7E2BC050-1D84-4D4E-81E1-106BB7D52403}"/>
    <hyperlink ref="B366" r:id="rId365" display="https://www.carmag.co.za/car-price-guide-view/porsche-macan-t/UG9yc2NoZSBNYWNhbiBU/?price=1215000" xr:uid="{05CE5D35-43B3-450A-A3F4-BF9A691E0019}"/>
    <hyperlink ref="B367" r:id="rId366" display="https://www.carmag.co.za/car-price-guide-view/toyota-land-cruiser-prado-2-8gd-vx/VG95b3RhIExhbmQgQ3J1aXNlciBQcmFkbyAyLjhHRCBWWA==/?price=1220000" xr:uid="{2929F6ED-B12E-427B-AFD8-BDF129346E43}"/>
    <hyperlink ref="B368" r:id="rId367" display="https://www.carmag.co.za/car-price-guide-view/mercedes-benz-eqa-250-amg-line/TWVyY2VkZXMtQmVueiBFUUEgMjUwIEFNRyBMaW5l/?price=1227000" xr:uid="{818562C1-C9C5-437C-A84A-46BDD12F1916}"/>
    <hyperlink ref="B369" r:id="rId368" display="https://www.carmag.co.za/car-price-guide-view/audi-rsq3-sportback-quattro/QXVkaSBSU1EzIFNwb3J0YmFjayBxdWF0dHJv/?price=1232300" xr:uid="{329EB213-EC67-4850-B88E-9D237C6303F6}"/>
    <hyperlink ref="B370" r:id="rId369" display="https://www.carmag.co.za/car-price-guide-view/toyota-land-cruiser-prado-4-0-vx-l/VG95b3RhIExhbmQgQ3J1aXNlciBQcmFkbyA0LjAgVlgtTA==/?price=1233800" xr:uid="{8DFB66F5-0EB9-4CB7-AE00-3CEA48CB7E66}"/>
    <hyperlink ref="B371" r:id="rId370" display="https://www.carmag.co.za/car-price-guide-view/mercedes-benz-glc300-coupe-4matic/TWVyY2VkZXMtQmVueiBHTEMzMDAgQ291cMOpIDRNYXRpYw==/?price=1239035" xr:uid="{56895EA3-7777-4ED3-A977-F4C765143FC7}"/>
    <hyperlink ref="B372" r:id="rId371" display="https://www.carmag.co.za/car-price-guide-view/mercedes-benz-glc300-4matic/TWVyY2VkZXMtQmVueiBHTEMzMDAgNE1hdGlj/?price=1243323" xr:uid="{A7BBB627-213B-428F-9C8F-F0F93312B14C}"/>
    <hyperlink ref="B373" r:id="rId372" display="https://www.carmag.co.za/car-price-guide-view/mercedes-benz-glc300d-coupe-4matic-amg-line/TWVyY2VkZXMtQmVueiBHTEMzMDBkIENvdXDDqSA0TWF0aWMgQU1HIExpbmU=/?price=1254213" xr:uid="{3C8DDD0A-41EF-4E88-A992-63AA5BDF9339}"/>
    <hyperlink ref="B374" r:id="rId373" display="https://www.carmag.co.za/car-price-guide-view/bmw-x3-xdrive30d/Qk1XIFgzIHhEcml2ZTMwZA==/?price=1256840" xr:uid="{858D876E-73BD-4D46-8039-37F2B270BB97}"/>
    <hyperlink ref="B375" r:id="rId374" display="https://www.carmag.co.za/car-price-guide-view/volvo-xc40-p8-recharge-twin-awd-ultimate/Vm9sdm8gWEM0MCBQOCBSZWNoYXJnZSBUd2luIEFXRCBVbHRpbWF0ZQ==/?price=1260000" xr:uid="{22302042-1E69-4022-A59C-8FD88E1A2C9A}"/>
    <hyperlink ref="B376" r:id="rId375" display="https://www.carmag.co.za/car-price-guide-view/land-rover-range-rover-evoque-d200-autobiography/TGFuZCBSb3ZlciBSYW5nZSBSb3ZlciBFdm9xdWUgRDIwMCBBdXRvYmlvZ3JhcGh5/?price=1268700" xr:uid="{1266745A-9C31-46B2-BAA8-E5B8E84D3EFE}"/>
    <hyperlink ref="B377" r:id="rId376" display="https://www.carmag.co.za/car-price-guide-view/toyota-land-cruiser-prado-2-8gd-vx-l/VG95b3RhIExhbmQgQ3J1aXNlciBQcmFkbyAyLjhHRCBWWC1M/?price=1271900" xr:uid="{D01C3E58-B666-47D7-A932-3E3D9A29A129}"/>
    <hyperlink ref="B378" r:id="rId377" display="https://www.carmag.co.za/car-price-guide-view/land-rover-range-rover-evoque-p250-autobiography/TGFuZCBSb3ZlciBSYW5nZSBSb3ZlciBFdm9xdWUgUDI1MCBBdXRvYmlvZ3JhcGh5/?price=1274100" xr:uid="{0AAEE1BB-C554-437D-9C37-01DFE4010A7B}"/>
    <hyperlink ref="B379" r:id="rId378" display="https://www.carmag.co.za/car-price-guide-view/audi-sq5-tfsi-quattro/QXVkaSBTUTUgVEZTSSBxdWF0dHJv/?price=1278500" xr:uid="{E6957D9B-EAAE-4F33-A7EF-C3F51A04DA7E}"/>
    <hyperlink ref="B380" r:id="rId379" display="https://www.carmag.co.za/car-price-guide-view/volvo-xc60-t8-recharge-awd-plus-dark/Vm9sdm8gWEM2MCBUOCBSZWNoYXJnZSBBV0QgUGx1cyBEYXJr/?price=1284000" xr:uid="{3BDF44D9-D9E2-46F3-B7CD-34358D736335}"/>
    <hyperlink ref="B381" r:id="rId380" display="https://www.carmag.co.za/car-price-guide-view/mercedes-benz-glc300-coupe-4matic-amg-line/TWVyY2VkZXMtQmVueiBHTEMzMDAgQ291cMOpIDRNYXRpYyBBTUcgTGluZQ==/?price=1292935" xr:uid="{63EAC053-25B0-45A2-BCD7-B3F7A8077812}"/>
    <hyperlink ref="B382" r:id="rId381" display="https://www.carmag.co.za/car-price-guide-view/volvo-c40-p8-recharge-twin-awd-ultimate/Vm9sdm8gQzQwIFA4IFJlY2hhcmdlIFR3aW4gQVdEIFVsdGltYXRl/?price=1295000" xr:uid="{58227B3C-46C7-4979-8542-768E99B190C0}"/>
    <hyperlink ref="B383" r:id="rId382" display="https://www.carmag.co.za/car-price-guide-view/lexus-rx-350l-ex/TGV4dXMgUlggMzUwTCBFWA==/?price=1295900" xr:uid="{56D6B4D6-400F-4055-914C-8E647E7436F0}"/>
    <hyperlink ref="B384" r:id="rId383" display="https://www.carmag.co.za/car-price-guide-view/bmw-x3-xdrive30d-m-sport/Qk1XIFgzIHhEcml2ZTMwZCBNIFNwb3J0/?price=1296840" xr:uid="{F7008ADE-7E58-4D10-9650-D2F940CF55C7}"/>
    <hyperlink ref="B385" r:id="rId384" display="https://www.carmag.co.za/car-price-guide-view/bmw-ix3-m-sport/Qk1XIGlYMyBNIFNwb3J0/?price=1306400" xr:uid="{F9E46E5E-F021-43FB-8309-EE4F8676A063}"/>
    <hyperlink ref="B386" r:id="rId385" display="https://www.carmag.co.za/car-price-guide-view/volvo-xc60-t8-recharge-awd-plus-bright/Vm9sdm8gWEM2MCBUOCBSZWNoYXJnZSBBV0QgUGx1cyBCcmlnaHQ=/?price=1310000" xr:uid="{4D516721-42BE-4D6A-9C11-DC4F49A1868A}"/>
    <hyperlink ref="B387" r:id="rId386" display="https://www.carmag.co.za/car-price-guide-view/land-rover-defender-90-d240-se/TGFuZCBSb3ZlciBEZWZlbmRlciA5MCBEMjQwIFNF/?price=1311500" xr:uid="{0A2C09D6-A8CA-4E53-892C-D1DC0C3AD241}"/>
    <hyperlink ref="B388" r:id="rId387" display="https://www.carmag.co.za/car-price-guide-view/volvo-xc90-b5-awd-essential/Vm9sdm8gWEM5MCBCNSBBV0QgRXNzZW50aWFs/?price=1312500" xr:uid="{C270E525-C4AC-40BC-B859-6140106669EC}"/>
    <hyperlink ref="B389" r:id="rId388" display="https://www.carmag.co.za/car-price-guide-view/mercedes-benz-glc300d-4matic/TWVyY2VkZXMtQmVueiBHTEMzMDBkIDRNYXRpYw==/?price=1323894" xr:uid="{5DA6CDC4-6807-42D8-B723-5A5C6402551B}"/>
    <hyperlink ref="B390" r:id="rId389" display="https://www.carmag.co.za/car-price-guide-view/mercedes-benz-glc300-4matic-amg-line/TWVyY2VkZXMtQmVueiBHTEMzMDAgNE1hdGljIEFNRyBMaW5l/?price=1325916" xr:uid="{C1669644-DED6-4F2C-B2D6-832EF76A7F3C}"/>
    <hyperlink ref="B391" r:id="rId390" display="https://www.carmag.co.za/car-price-guide-view/jeep-grand-cherokee-l-3-6-4x4-limited/SmVlcCBHcmFuZCBDaGVyb2tlZSBMIDMuNiA0eDQgTGltaXRlZA==/?price=1329900" xr:uid="{664BA0A2-41A4-4597-9B31-BDF507222C58}"/>
    <hyperlink ref="B392" r:id="rId391" display="https://www.carmag.co.za/car-price-guide-view/volkswagen-touareg-v6-tdi-luxury/Vm9sa3N3YWdlbiBUb3VhcmVnIFY2IFRESSBMdXh1cnk=/?price=1331800" xr:uid="{ACD6C3A0-BBF7-4302-B971-46FF312532B5}"/>
    <hyperlink ref="B393" r:id="rId392" display="https://www.carmag.co.za/car-price-guide-view/porsche-macan-s/UG9yc2NoZSBNYWNhbiBT/?price=1337000" xr:uid="{81D352DC-C71A-423D-AA16-79944954EED2}"/>
    <hyperlink ref="B394" r:id="rId393" display="https://www.carmag.co.za/car-price-guide-view/land-rover-defender-110-d240-se/TGFuZCBSb3ZlciBEZWZlbmRlciAxMTAgRDI0MCBTRQ==/?price=1345500" xr:uid="{A4D3F626-D294-4B97-80D4-3957876A17E7}"/>
    <hyperlink ref="B395" r:id="rId394" display="https://www.carmag.co.za/car-price-guide-view/lexus-rx-350-f-sport/TGV4dXMgUlggMzUwIEYgU3BvcnQ=/?price=1349500" xr:uid="{ABABD057-2AF0-45CB-96D0-89BF74650CB6}"/>
    <hyperlink ref="B396" r:id="rId395" display="https://www.carmag.co.za/car-price-guide-view/jaguar-f-pace-d200-awd-r-dynamic-se/SmFndWFyIEYtUGFjZSBEMjAwIEFXRCBSLUR5bmFtaWMgU0U=/?price=1357000" xr:uid="{1DDA9ABD-20AE-4BBA-B667-732B82FC8FE1}"/>
    <hyperlink ref="B397" r:id="rId396" display="https://www.carmag.co.za/car-price-guide-view/toyota-land-cruiser-300-3-3d-gx-r/VG95b3RhIExhbmQgQ3J1aXNlciAzMDAgMy4zRCBHWC1S/?price=1375100" xr:uid="{C3932B44-D8BD-4E7C-8A5E-70D6664D17D9}"/>
    <hyperlink ref="B398" r:id="rId397" display="https://www.carmag.co.za/car-price-guide-view/mercedes-benz-eqb-350-4matic-progressive/TWVyY2VkZXMtQmVueiBFUUIgMzUwIDRNYXRpYyBQcm9ncmVzc2l2ZQ==/?price=1379000" xr:uid="{3DBEF555-E4FB-4A3F-AB7B-40DC3B82A250}"/>
    <hyperlink ref="B399" r:id="rId398" display="https://www.carmag.co.za/car-price-guide-view/audi-sq5-sportback-tfsi-quattro/QXVkaSBTUTUgU3BvcnRiYWNrIFRGU0kgcXVhdHRybw==/?price=1405500" xr:uid="{BDCC78B5-066C-4292-B403-56208482C400}"/>
    <hyperlink ref="B400" r:id="rId399" display="https://www.carmag.co.za/car-price-guide-view/mercedes-benz-glc300d-4matic-amg-line/TWVyY2VkZXMtQmVueiBHTEMzMDBkIDRNYXRpYyBBTUcgTGluZQ==/?price=1406487" xr:uid="{B0ECCA04-8C66-4F51-903E-32A87D4A1DF1}"/>
    <hyperlink ref="B401" r:id="rId400" display="https://www.carmag.co.za/car-price-guide-view/volvo-xc90-b5-awd-plus-dark/Vm9sdm8gWEM5MCBCNSBBV0QgUGx1cyBEYXJr/?price=1408500" xr:uid="{E8F3D93B-1960-43CA-9D93-507EF42D08B6}"/>
    <hyperlink ref="B402" r:id="rId401" display="https://www.carmag.co.za/car-price-guide-view/jaguar-f-pace-d300-awd-r-dynamic-se/SmFndWFyIEYtUGFjZSBEMzAwIEFXRCBSLUR5bmFtaWMgU0U=/?price=1416000" xr:uid="{D91EE418-369B-432C-A1AB-3BB906209945}"/>
    <hyperlink ref="B403" r:id="rId402" display="https://www.carmag.co.za/car-price-guide-view/jaguar-f-pace-d200-awd-r-dynamic-hse/SmFndWFyIEYtUGFjZSBEMjAwIEFXRCBSLUR5bmFtaWMgSFNF/?price=1417000" xr:uid="{D451DE44-AFE7-420A-B8A7-34FE11CF1B55}"/>
    <hyperlink ref="B404" r:id="rId403" display="https://www.carmag.co.za/car-price-guide-view/mercedes-benz-eqb-350-4matic-amg-line/TWVyY2VkZXMtQmVueiBFUUIgMzUwIDRNYXRpYyBBTUcgTGluZQ==/?price=1432000" xr:uid="{E6E320D5-A51B-4DBB-81D2-1090D35D1E70}"/>
    <hyperlink ref="B405" r:id="rId404" display="https://www.carmag.co.za/car-price-guide-view/land-rover-defender-90-d240-xs-edition/TGFuZCBSb3ZlciBEZWZlbmRlciA5MCBEMjQwIFhTIEVkaXRpb24=/?price=1439500" xr:uid="{46005177-BBD9-4919-BD7C-1778A8A392C0}"/>
    <hyperlink ref="B406" r:id="rId405" display="https://www.carmag.co.za/car-price-guide-view/land-rover-defender-110-d300-se/TGFuZCBSb3ZlciBEZWZlbmRlciAxMTAgRDMwMCBTRQ==/?price=1443600" xr:uid="{2E5B1A06-A49F-49B6-85CA-18140E83FE81}"/>
    <hyperlink ref="B407" r:id="rId406" display="https://www.carmag.co.za/car-price-guide-view/land-rover-defender-110-d240-x-dynamic-se/TGFuZCBSb3ZlciBEZWZlbmRlciAxMTAgRDI0MCBYLUR5bmFtaWMgU0U=/?price=1449500" xr:uid="{1771BE5F-A92E-4A26-8441-36DF3AE96EA3}"/>
    <hyperlink ref="B408" r:id="rId407" display="https://www.carmag.co.za/car-price-guide-view/volvo-xc90-b6-awd-plus-dark/Vm9sdm8gWEM5MCBCNiBBV0QgUGx1cyBEYXJr/?price=1463900" xr:uid="{65970F03-5A72-4F64-A97F-4397B37D0C1A}"/>
    <hyperlink ref="B409" r:id="rId408" display="https://www.carmag.co.za/car-price-guide-view/bmw-x3-m40i/Qk1XIFgzIE00MGk=/?price=1468146" xr:uid="{02204B4C-AF96-4F68-AE73-8E5B5B381DA7}"/>
    <hyperlink ref="B410" r:id="rId409" display="https://www.carmag.co.za/car-price-guide-view/land-rover-range-rover-evoque-p300e-bronze-collection/TGFuZCBSb3ZlciBSYW5nZSBSb3ZlciBFdm9xdWUgUDMwMGUgQnJvbnplIENvbGxlY3Rpb24=/?price=1469700" xr:uid="{36184451-BD3A-4F1E-BA2C-2F7A40F71BCA}"/>
    <hyperlink ref="B411" r:id="rId410" display="https://www.carmag.co.za/car-price-guide-view/land-rover-defender-110-d240-xs-edition/TGFuZCBSb3ZlciBEZWZlbmRlciAxMTAgRDI0MCBYUyBFZGl0aW9u/?price=1470500" xr:uid="{FA612016-72A0-40D9-9BCA-CF3F9F55921E}"/>
    <hyperlink ref="B412" r:id="rId411" display="https://www.carmag.co.za/car-price-guide-view/land-rover-defender-90-d240-x-dynamic-hse/TGFuZCBSb3ZlciBEZWZlbmRlciA5MCBEMjQwIFgtRHluYW1pYyBIU0U=/?price=1474500" xr:uid="{F5437841-5926-4F9E-8607-AD3142CD6579}"/>
    <hyperlink ref="B413" r:id="rId412" display="https://www.carmag.co.za/car-price-guide-view/jaguar-f-pace-d300-awd-r-dynamic-hse/SmFndWFyIEYtUGFjZSBEMzAwIEFXRCBSLUR5bmFtaWMgSFNF/?price=1477000" xr:uid="{282348B1-6238-4D3C-90A9-AE89E322464A}"/>
    <hyperlink ref="B414" r:id="rId413" display="https://www.carmag.co.za/car-price-guide-view/jaguar-e-pace-p300e-awd-r-dynamic-se/SmFndWFyIEUtUGFjZSBQMzAwZSBBV0QgUi1EeW5hbWljIFNF/?price=1478000" xr:uid="{B778A5FA-E414-4F80-9F29-932D5859A5A0}"/>
    <hyperlink ref="B415" r:id="rId414" display="https://www.carmag.co.za/car-price-guide-view/land-rover-range-rover-evoque-p300e-r-dynamic-se/TGFuZCBSb3ZlciBSYW5nZSBSb3ZlciBFdm9xdWUgUDMwMGUgUi1EeW5hbWljIFNF/?price=1483600" xr:uid="{0ED8EC91-B3F6-44D7-8815-B7283707B629}"/>
    <hyperlink ref="B416" r:id="rId415" display="https://www.carmag.co.za/car-price-guide-view/land-rover-defender-90-d300-x-dynamic-se/TGFuZCBSb3ZlciBEZWZlbmRlciA5MCBEMzAwIFgtRHluYW1pYyBTRQ==/?price=1494600" xr:uid="{74FD80BC-00E1-4946-AD18-2DCC5E296339}"/>
    <hyperlink ref="B417" r:id="rId416" display="https://www.carmag.co.za/car-price-guide-view/land-rover-discovery-sport-p300e-r-dynamic-se/TGFuZCBSb3ZlciBEaXNjb3ZlcnkgU3BvcnQgUDMwMGUgUi1EeW5hbWljIFNF/?price=1494700" xr:uid="{2512FDE7-B0B3-4439-9E94-48DA3BB1239C}"/>
    <hyperlink ref="B418" r:id="rId417" display="https://www.carmag.co.za/car-price-guide-view/land-rover-defender-110-d240-x-dynamic-hse/TGFuZCBSb3ZlciBEZWZlbmRlciAxMTAgRDI0MCBYLUR5bmFtaWMgSFNF/?price=1511500" xr:uid="{DACA1A3B-3297-4120-BD10-6F4DC63E2DC1}"/>
    <hyperlink ref="B419" r:id="rId418" display="https://www.carmag.co.za/car-price-guide-view/ineos-grenadier-3-0td/SW5lb3MgR3JlbmFkaWVyIDMuMFRE/?price=1513100" xr:uid="{ABF372AE-9BFF-4D59-8F6B-C192A348A489}"/>
    <hyperlink ref="B420" r:id="rId419" display="https://www.carmag.co.za/car-price-guide-view/land-rover-range-rover-velar-d200-dynamic-se/TGFuZCBSb3ZlciBSYW5nZSBSb3ZlciBWZWxhciBEMjAwIER5bmFtaWMgU0U=/?price=1519000" xr:uid="{100D0B55-4B01-41AD-A910-2BB27DC49BAB}"/>
    <hyperlink ref="B421" r:id="rId420" display="https://www.carmag.co.za/car-price-guide-view/audi-q7-45tdi-quattro/QXVkaSBRNyA0NVRESSBxdWF0dHJv/?price=1520000" xr:uid="{AC81CA6C-8DC3-4278-8112-9C5C3191CE8C}"/>
    <hyperlink ref="B422" r:id="rId421" display="https://www.carmag.co.za/car-price-guide-view/mercedes-benz-eqb-350-4matic-edition-1/TWVyY2VkZXMtQmVueiBFUUIgMzUwIDRNYXRpYyBFZGl0aW9uIDE=/?price=1523400" xr:uid="{63FAE444-0530-4387-B6C2-715EBB7D1F47}"/>
    <hyperlink ref="B423" r:id="rId422" display="https://www.carmag.co.za/car-price-guide-view/jeep-grand-cherokee-l-3-6-4x4-overland/SmVlcCBHcmFuZCBDaGVyb2tlZSBMIDMuNiA0eDQgT3ZlcmxhbmQ=/?price=1529900" xr:uid="{B3DEC2A1-B2C2-4CCE-BE99-3BAF0DE6C18A}"/>
    <hyperlink ref="B424" r:id="rId423" display="https://www.carmag.co.za/car-price-guide-view/land-rover-discovery-sport-p300e-r-dynamic-hse/TGFuZCBSb3ZlciBEaXNjb3ZlcnkgU3BvcnQgUDMwMGUgUi1EeW5hbWljIEhTRQ==/?price=1534200" xr:uid="{8E8A2CFA-858D-4730-B47A-7FB2ED75BE3F}"/>
    <hyperlink ref="B425" r:id="rId424" display="https://www.carmag.co.za/car-price-guide-view/land-rover-defender-110-d300-x-dynamic-se/TGFuZCBSb3ZlciBEZWZlbmRlciAxMTAgRDMwMCBYLUR5bmFtaWMgU0U=/?price=1535600" xr:uid="{C71B881D-7E31-47F4-8F19-CFBA1200BD2C}"/>
    <hyperlink ref="B426" r:id="rId425" display="https://www.carmag.co.za/car-price-guide-view/jaguar-e-pace-p300e-awd-r-dynamic-hse/SmFndWFyIEUtUGFjZSBQMzAwZSBBV0QgUi1EeW5hbWljIEhTRQ==/?price=1541000" xr:uid="{0A461512-88B2-4513-BEA8-94B232FCD655}"/>
    <hyperlink ref="B427" r:id="rId426" display="https://www.carmag.co.za/car-price-guide-view/land-rover-range-rover-evoque-p300e-r-dynamic-hse/TGFuZCBSb3ZlciBSYW5nZSBSb3ZlciBFdm9xdWUgUDMwMGUgUi1EeW5hbWljIEhTRQ==/?price=1542000" xr:uid="{9ED5E7C5-2738-4183-AA26-189839508513}"/>
    <hyperlink ref="B428" r:id="rId427" display="https://www.carmag.co.za/car-price-guide-view/porsche-cayenne/UG9yc2NoZSBDYXllbm5l/?price=1545000" xr:uid="{1EEB6058-A7A3-48BD-92C4-E8D795FB8436}"/>
    <hyperlink ref="B429" r:id="rId428" display="https://www.carmag.co.za/car-price-guide-view/bmw-x4-m40i/Qk1XIFg0IE00MGk=/?price=1558146" xr:uid="{E7B05C6D-2FAB-405D-A421-B25C0548DD7F}"/>
    <hyperlink ref="B430" r:id="rId429" display="https://www.carmag.co.za/car-price-guide-view/land-rover-defender-90-d300-x-dynamic-hse/TGFuZCBSb3ZlciBEZWZlbmRlciA5MCBEMzAwIFgtRHluYW1pYyBIU0U=/?price=1561600" xr:uid="{33A5B7F0-5D7B-4565-B018-3D1967AA1D9A}"/>
    <hyperlink ref="B431" r:id="rId430" display="https://www.carmag.co.za/car-price-guide-view/audi-q7-45tdi-quattro-s-line/QXVkaSBRNyA0NVRESSBxdWF0dHJvIFMgbGluZQ==/?price=1565000" xr:uid="{09A26603-1CB5-443C-ACE7-A5B5E76D075B}"/>
    <hyperlink ref="B432" r:id="rId431" display="https://www.carmag.co.za/car-price-guide-view/lexus-rx-450h-se/TGV4dXMgUlggNDUwaCBTRQ==/?price=1567800" xr:uid="{911DDF32-CC74-4E19-8A99-771B40077B7B}"/>
    <hyperlink ref="B433" r:id="rId432" display="https://www.carmag.co.za/car-price-guide-view/land-rover-defender-110-d300-x-dynamic-hse/TGFuZCBSb3ZlciBEZWZlbmRlciAxMTAgRDMwMCBYLUR5bmFtaWMgSFNF/?price=1598600" xr:uid="{89B199BF-5364-4F9C-9B62-B4DF86DE4DE6}"/>
    <hyperlink ref="B434" r:id="rId433" display="https://www.carmag.co.za/car-price-guide-view/bmw-x5-xdrive30d/Qk1XIFg1IHhEcml2ZTMwZA==/?price=1603510" xr:uid="{D4514AFC-B39D-439C-B06F-0C7E9CA1710E}"/>
    <hyperlink ref="B435" r:id="rId434" display="https://www.carmag.co.za/car-price-guide-view/land-rover-defender-90-p400-x-dynamic-hse/TGFuZCBSb3ZlciBEZWZlbmRlciA5MCBQNDAwIFgtRHluYW1pYyBIU0U=/?price=1607700" xr:uid="{B5EC6FA2-9503-49CF-B01D-56AF56BE76DB}"/>
    <hyperlink ref="B436" r:id="rId435" display="https://www.carmag.co.za/car-price-guide-view/mercedes-amg-glc43-coupe-4matic/TWVyY2VkZXMtQU1HIEdMQzQzIENvdXDDqSA0TWF0aWM=/?price=1608193" xr:uid="{C5E7417F-CE1F-4454-ABA6-10E945398739}"/>
    <hyperlink ref="B437" r:id="rId436" display="https://www.carmag.co.za/car-price-guide-view/porsche-macan-gts/UG9yc2NoZSBNYWNhbiBHVFM=/?price=1617000" xr:uid="{B3A21D92-A198-4353-B32F-A17DE3DEBAB1}"/>
    <hyperlink ref="B438" r:id="rId437" display="https://www.carmag.co.za/car-price-guide-view/land-rover-discovery-d300-s/TGFuZCBSb3ZlciBEaXNjb3ZlcnkgRDMwMCBT/?price=1617900" xr:uid="{79D2BC34-DFAA-4CB5-A73E-D69007A73442}"/>
    <hyperlink ref="B439" r:id="rId438" display="https://www.carmag.co.za/car-price-guide-view/land-rover-discovery-p360-s/TGFuZCBSb3ZlciBEaXNjb3ZlcnkgUDM2MCBT/?price=1618700" xr:uid="{F22C3D36-BCCA-4C8D-8B87-35032893AEFF}"/>
    <hyperlink ref="B440" r:id="rId439" display="https://www.carmag.co.za/car-price-guide-view/volkswagen-touareg-v6-tdi-executive-r-line/Vm9sa3N3YWdlbiBUb3VhcmVnIFY2IFRESSBFeGVjdXRpdmUgUi1MaW5l/?price=1622800" xr:uid="{47C9F0FE-4C67-486D-AC15-2D509B6C9B6D}"/>
    <hyperlink ref="B441" r:id="rId440" display="https://www.carmag.co.za/car-price-guide-view/mercedes-benz-gle300d-4matic/TWVyY2VkZXMtQmVueiBHTEUzMDBkIDRNYXRpYw==/?price=1623789" xr:uid="{C771FD22-FFAC-47DB-AF2A-347D68CF264A}"/>
    <hyperlink ref="B442" r:id="rId441" display="https://www.carmag.co.za/car-price-guide-view/porsche-cayenne-coupe/UG9yc2NoZSBDYXllbm5lIENvdXDDqQ==/?price=1627000" xr:uid="{A9A75307-3A0D-47E3-8A9B-CDDA125995D7}"/>
    <hyperlink ref="B443" r:id="rId442" display="https://www.carmag.co.za/car-price-guide-view/ineos-grenadier-3-0td-fieldmaster-edition/SW5lb3MgR3JlbmFkaWVyIDMuMFREIEZpZWxkbWFzdGVyIEVkaXRpb24=/?price=1630560" xr:uid="{CB21445A-07F7-4AF1-8B69-7953CA6A4C92}"/>
    <hyperlink ref="B444" r:id="rId443" display="https://www.carmag.co.za/car-price-guide-view/bmw-x5-xdrive45e-xline/Qk1XIFg1IHhEcml2ZTQ1ZSB4TGluZQ==/?price=1638000" xr:uid="{BE770440-9157-4150-A88C-B55C485F542D}"/>
    <hyperlink ref="B445" r:id="rId444" display="https://www.carmag.co.za/car-price-guide-view/land-rover-defender-110-p400-x-dynamic-hse/TGFuZCBSb3ZlciBEZWZlbmRlciAxMTAgUDQwMCBYLUR5bmFtaWMgSFNF/?price=1642700" xr:uid="{40A08DA7-035F-4D84-A85A-55303929B248}"/>
    <hyperlink ref="B446" r:id="rId445" display="https://www.carmag.co.za/car-price-guide-view/maserati-grecale-gt/TWFzZXJhdGkgR3JlY2FsZSBHVA==/?price=1650000" xr:uid="{A52957D2-644D-4EA9-823D-0982B1591F1A}"/>
    <hyperlink ref="B447" r:id="rId446" display="https://www.carmag.co.za/car-price-guide-view/bmw-x5-xdrive30d-m-sport/Qk1XIFg1IHhEcml2ZTMwZCBNIFNwb3J0/?price=1650510" xr:uid="{AFB24FCD-9E99-4676-B52E-D2DE09522FFB}"/>
    <hyperlink ref="B448" r:id="rId447" display="https://www.carmag.co.za/car-price-guide-view/land-rover-range-rover-velar-d200-dynamic-hse/TGFuZCBSb3ZlciBSYW5nZSBSb3ZlciBWZWxhciBEMjAwIER5bmFtaWMgSFNF/?price=1653000" xr:uid="{8A15B9EE-B76D-4588-B5E6-7050612608F6}"/>
    <hyperlink ref="B449" r:id="rId448" display="https://www.carmag.co.za/car-price-guide-view/bmw-x5-xdrive45e-m-sport/Qk1XIFg1IHhEcml2ZTQ1ZSBNIFNwb3J0/?price=1659400" xr:uid="{600646F3-143A-4BC6-92B2-8146FB35AF33}"/>
    <hyperlink ref="B450" r:id="rId449" display="https://www.carmag.co.za/car-price-guide-view/volvo-xc90-t8-recharge-awd-plus-dark/Vm9sdm8gWEM5MCBUOCBSZWNoYXJnZSBBV0QgUGx1cyBEYXJr/?price=1663000" xr:uid="{55A5CB2E-A49D-46CA-9BBB-DCB19E7A29C3}"/>
    <hyperlink ref="B451" r:id="rId450" display="https://www.carmag.co.za/car-price-guide-view/audi-q8-45tdi-quattro/QXVkaSBROCA0NVRESSBxdWF0dHJv/?price=1672700" xr:uid="{5E3A0C9A-349D-475F-BD7B-8B65B26591B0}"/>
    <hyperlink ref="B452" r:id="rId451" display="https://www.carmag.co.za/car-price-guide-view/mercedes-benz-eqc-400-4matic-amg-line/TWVyY2VkZXMtQmVueiBFUUMgNDAwIDRNYXRpYyBBTUcgTGluZQ==/?price=1679000" xr:uid="{DEC901CB-5D94-460A-90F4-05DA7242CAC6}"/>
    <hyperlink ref="B453" r:id="rId452" display="https://www.carmag.co.za/car-price-guide-view/nissan-patrol-5-6-v8-le-4wd/Tmlzc2FuIFBhdHJvbCA1LjYgVjggTEUgNFdE/?price=1683900" xr:uid="{6FC49D82-B51C-468F-993C-99720D38D082}"/>
    <hyperlink ref="B454" r:id="rId453" display="https://www.carmag.co.za/car-price-guide-view/land-rover-range-rover-velar-d300-dynamic-se/TGFuZCBSb3ZlciBSYW5nZSBSb3ZlciBWZWxhciBEMzAwIER5bmFtaWMgU0U=/?price=1690000" xr:uid="{E04612D1-9B0B-45CC-8D62-4FB3D876FFEC}"/>
    <hyperlink ref="B455" r:id="rId454" display="https://www.carmag.co.za/car-price-guide-view/mercedes-benz-gle300d-4matic-amg-line/TWVyY2VkZXMtQmVueiBHTEUzMDBkIDRNYXRpYyBBTUcgTGluZQ==/?price=1699589" xr:uid="{463D4273-B617-4FBB-BECD-F6569CC2472B}"/>
    <hyperlink ref="B456" r:id="rId455" display="https://www.carmag.co.za/car-price-guide-view/mercedes-benz-gle450-4matic/TWVyY2VkZXMtQmVueiBHTEU0NTAgNE1hdGlj/?price=1701520" xr:uid="{876062CA-FF4D-4F13-A1C8-A29E533B450F}"/>
    <hyperlink ref="B457" r:id="rId456" display="https://www.carmag.co.za/car-price-guide-view/bmw-x6-xdrive30d/Qk1XIFg2IHhEcml2ZTMwZA==/?price=1704269" xr:uid="{AE4E35E9-82BD-453C-904C-47E2CE178FCC}"/>
    <hyperlink ref="B458" r:id="rId457" display="https://www.carmag.co.za/car-price-guide-view/porsche-cayenne-s/UG9yc2NoZSBDYXllbm5lIFM=/?price=1709000" xr:uid="{0727FA13-F943-432A-BB5B-2634CF5CA4BD}"/>
    <hyperlink ref="B459" r:id="rId458" display="https://www.carmag.co.za/car-price-guide-view/audi-q8-55tfsi-quattro/QXVkaSBROCA1NVRGU0kgcXVhdHRybw==/?price=1714900" xr:uid="{813A2839-1CAF-4B53-973D-E690A1FD3B9E}"/>
    <hyperlink ref="B460" r:id="rId459" display="https://www.carmag.co.za/car-price-guide-view/jeep-grand-cherokee-l-3-6-4x4-summit-reserve/SmVlcCBHcmFuZCBDaGVyb2tlZSBMIDMuNiA0eDQgU3VtbWl0IFJlc2VydmU=/?price=1724900" xr:uid="{7F2B4F93-21A0-46AA-AB39-2401B0776F45}"/>
    <hyperlink ref="B461" r:id="rId460" display="https://www.carmag.co.za/car-price-guide-view/bmw-x6-xdrive40i/Qk1XIFg2IHhEcml2ZTQwaQ==/?price=1730850" xr:uid="{FC990BCE-0AEA-4167-991E-AA09BA7C7F2C}"/>
    <hyperlink ref="B462" r:id="rId461" display="https://www.carmag.co.za/car-price-guide-view/bmw-ix-xdrive40/Qk1XIGlYIHhEcml2ZTQw/?price=1735000" xr:uid="{2F549144-038A-4357-BBCC-787694E6EDC4}"/>
    <hyperlink ref="B463" r:id="rId462" display="https://www.carmag.co.za/car-price-guide-view/land-rover-discovery-d300-r-dynamic-se/TGFuZCBSb3ZlciBEaXNjb3ZlcnkgRDMwMCBSLUR5bmFtaWMgU0U=/?price=1739900" xr:uid="{B8C6C239-38F4-4F0A-9857-6D0C6A834F13}"/>
    <hyperlink ref="B464" r:id="rId463" display="https://www.carmag.co.za/car-price-guide-view/porsche-cayenne-platinum-edition/UG9yc2NoZSBDYXllbm5lIFBsYXRpbnVtIEVkaXRpb24=/?price=1740000" xr:uid="{CDC1060E-672E-45AB-8B64-A889F29422E5}"/>
    <hyperlink ref="B465" r:id="rId464" display="https://www.carmag.co.za/car-price-guide-view/land-rover-discovery-p360-r-dynamic-se/TGFuZCBSb3ZlciBEaXNjb3ZlcnkgUDM2MCBSLUR5bmFtaWMgU0U=/?price=1740700" xr:uid="{A5AFB001-4A98-4FCE-80AB-BA12A451C98E}"/>
    <hyperlink ref="B466" r:id="rId465" display="https://www.carmag.co.za/car-price-guide-view/audi-e-tron-55-quattro/QXVkaSBlLXRyb24gNTUgcXVhdHRybw==/?price=1745000" xr:uid="{4BF92B81-BD4A-4244-B1C5-ADAF7EC74C15}"/>
    <hyperlink ref="B467" r:id="rId466" display="https://www.carmag.co.za/car-price-guide-view/bmw-x6-xdrive30d-m-sport/Qk1XIFg2IHhEcml2ZTMwZCBNIFNwb3J0/?price=1751269" xr:uid="{1EDCB8AA-9EA1-48E0-B48F-2B8AC2A455EF}"/>
    <hyperlink ref="B468" r:id="rId467" display="https://www.carmag.co.za/car-price-guide-view/land-rover-defender-130-d300-x-dynamic-hse/TGFuZCBSb3ZlciBEZWZlbmRlciAxMzAgRDMwMCBYLUR5bmFtaWMgSFNF/?price=1754600" xr:uid="{7610F9FB-0C58-42E6-B274-1561E0998478}"/>
    <hyperlink ref="B469" r:id="rId468" display="https://www.carmag.co.za/car-price-guide-view/land-rover-defender-130-d300-first-edition/TGFuZCBSb3ZlciBEZWZlbmRlciAxMzAgRDMwMCBGaXJzdCBFZGl0aW9u/?price=1758600" xr:uid="{061620DE-4D48-440A-BE53-410073B060B8}"/>
    <hyperlink ref="B470" r:id="rId469" display="https://www.carmag.co.za/car-price-guide-view/porsche-cayenne-coupe-platinum-edition/UG9yc2NoZSBDYXllbm5lIENvdXDDqSBQbGF0aW51bSBFZGl0aW9u/?price=1760000" xr:uid="{6BDFECD8-5A47-4F5D-96E7-C23649C3E56E}"/>
    <hyperlink ref="B471" r:id="rId470" display="https://www.carmag.co.za/car-price-guide-view/land-rover-defender-90-d300-x/TGFuZCBSb3ZlciBEZWZlbmRlciA5MCBEMzAwIFg=/?price=1761600" xr:uid="{50D0066E-6F1C-49A3-9F19-F0B6BA50DDA6}"/>
    <hyperlink ref="B472" r:id="rId471" display="https://www.carmag.co.za/car-price-guide-view/mercedes-benz-gle400d-4matic/TWVyY2VkZXMtQmVueiBHTEU0MDBkIDRNYXRpYw==/?price=1761993" xr:uid="{2C16BEF5-AC47-49DF-AA66-FAEA8FF8DA1D}"/>
    <hyperlink ref="B473" r:id="rId472" display="https://www.carmag.co.za/car-price-guide-view/land-rover-defender-90-d300-75-years-75th-limited-edition/TGFuZCBSb3ZlciBEZWZlbmRlciA5MCBEMzAwIDc1IFllYXJzIC8gNzV0aCBMaW1pdGVkIEVkaXRpb24=/?price=1762600" xr:uid="{36A5B0E9-F892-48FF-B127-A1A1240B3BEE}"/>
    <hyperlink ref="B474" r:id="rId473" display="https://www.carmag.co.za/car-price-guide-view/mercedes-benz-gle450-4matic-amg-line/TWVyY2VkZXMtQmVueiBHTEU0NTAgNE1hdGljIEFNRyBMaW5l/?price=1777320" xr:uid="{461291E8-3403-4840-8632-0346B876EEC7}"/>
    <hyperlink ref="B475" r:id="rId474" display="https://www.carmag.co.za/car-price-guide-view/bmw-x6-xdrive40i-m-sport/Qk1XIFg2IHhEcml2ZTQwaSBNIFNwb3J0/?price=1777850" xr:uid="{E92790E2-E8F6-4F98-91BD-AFC0149A22D2}"/>
    <hyperlink ref="B476" r:id="rId475" display="https://www.carmag.co.za/car-price-guide-view/land-rover-range-rover-velar-p340-dynamic-hse/TGFuZCBSb3ZlciBSYW5nZSBSb3ZlciBWZWxhciBQMzQwIER5bmFtaWMgSFNF/?price=1788000" xr:uid="{BF8F9C7C-B96F-45BB-ADF2-1E525B16856A}"/>
    <hyperlink ref="B477" r:id="rId476" display="https://www.carmag.co.za/car-price-guide-view/porsche-cayenne-s-coupe/UG9yc2NoZSBDYXllbm5lIFMgQ291cMOp/?price=1790000" xr:uid="{BC1E1E3F-D710-4B00-8B56-06C777A85625}"/>
    <hyperlink ref="B478" r:id="rId477" display="https://www.carmag.co.za/car-price-guide-view/land-rover-defender-130-p400-x-dynamic-hse/TGFuZCBSb3ZlciBEZWZlbmRlciAxMzAgUDQwMCBYLUR5bmFtaWMgSFNF/?price=1798500" xr:uid="{BC0DEDB9-8C8F-4FDE-883A-91CDC0935841}"/>
    <hyperlink ref="B479" r:id="rId478" display="https://www.carmag.co.za/car-price-guide-view/land-rover-defender-90-p400-x/TGFuZCBSb3ZlciBEZWZlbmRlciA5MCBQNDAwIFg=/?price=1799700" xr:uid="{1FEBEA47-0426-4B8D-8316-F2897FCC67CC}"/>
    <hyperlink ref="B480" r:id="rId479" display="https://www.carmag.co.za/car-price-guide-view/land-rover-defender-110-d300-75-years-75th-limited-edition/TGFuZCBSb3ZlciBEZWZlbmRlciAxMTAgRDMwMCA3NSBZZWFycyAvIDc1dGggTGltaXRlZCBFZGl0aW9u/?price=1801600" xr:uid="{2CB642BA-1531-4996-8364-48A7CC9DC73B}"/>
    <hyperlink ref="B481" r:id="rId480" display="https://www.carmag.co.za/car-price-guide-view/land-rover-defender-130-p400-first-edition/TGFuZCBSb3ZlciBEZWZlbmRlciAxMzAgUDQwMCBGaXJzdCBFZGl0aW9u/?price=1803500" xr:uid="{D52E2732-B196-4881-A16E-AFEC8A41DF3A}"/>
    <hyperlink ref="B482" r:id="rId481" display="https://www.carmag.co.za/car-price-guide-view/land-rover-range-rover-velar-d300-dynamic-hse/TGFuZCBSb3ZlciBSYW5nZSBSb3ZlciBWZWxhciBEMzAwIER5bmFtaWMgSFNF/?price=1809000" xr:uid="{FADA888A-BA62-40D4-801F-62E4057AF591}"/>
    <hyperlink ref="B483" r:id="rId482" display="https://www.carmag.co.za/car-price-guide-view/land-rover-defender-110-p400e-x-dynamic-se/TGFuZCBSb3ZlciBEZWZlbmRlciAxMTAgUDQwMGUgWC1EeW5hbWljIFNF/?price=1811300" xr:uid="{AC1EE096-D1B9-40AE-9BD6-F3D9A57FAFEB}"/>
    <hyperlink ref="B484" r:id="rId483" display="https://www.carmag.co.za/car-price-guide-view/land-rover-defender-90-p400-75-years-75th-limited-edition/TGFuZCBSb3ZlciBEZWZlbmRlciA5MCBQNDAwIDc1IFllYXJzIC8gNzV0aCBMaW1pdGVkIEVkaXRpb24=/?price=1811700" xr:uid="{C5CB7E0D-1F0D-46D6-8B9B-99D14097F114}"/>
    <hyperlink ref="B485" r:id="rId484" display="https://www.carmag.co.za/car-price-guide-view/jaguar-f-pace-p400e-awd-r-dynamic-se/SmFndWFyIEYtUGFjZSBQNDAwZSBBV0QgUi1EeW5hbWljIFNF/?price=1815000" xr:uid="{49609FAF-4BB2-43F8-A6D8-04189F9A5AC5}"/>
    <hyperlink ref="B486" r:id="rId485" display="https://www.carmag.co.za/car-price-guide-view/land-rover-defender-110-d300-x/TGFuZCBSb3ZlciBEZWZlbmRlciAxMTAgRDMwMCBY/?price=1826600" xr:uid="{E45A1EAF-10F8-488C-8E2F-37D9D8659ADC}"/>
    <hyperlink ref="B487" r:id="rId486" display="https://www.carmag.co.za/car-price-guide-view/mercedes-benz-gle400d-4matic-amg-line/TWVyY2VkZXMtQmVueiBHTEU0MDBkIDRNYXRpYyBBTUcgTGluZQ==/?price=1837793" xr:uid="{DCA0E42E-7B82-4A00-AB09-4C46F732C09A}"/>
    <hyperlink ref="B488" r:id="rId487" display="https://www.carmag.co.za/car-price-guide-view/land-rover-defender-110-p400-75-years-75th-limited-edition/TGFuZCBSb3ZlciBEZWZlbmRlciAxMTAgUDQwMCA3NSBZZWFycyAvIDc1dGggTGltaXRlZCBFZGl0aW9u/?price=1845700" xr:uid="{89DAA035-9357-4D70-BD8D-57D93C052547}"/>
    <hyperlink ref="B489" r:id="rId488" display="https://www.carmag.co.za/car-price-guide-view/porsche-cayenne-gts/UG9yc2NoZSBDYXllbm5lIEdUUw==/?price=1851000" xr:uid="{C5D8EBB4-0312-48AD-8E9A-B3FBC57CFD39}"/>
    <hyperlink ref="B490" r:id="rId489" display="https://www.carmag.co.za/car-price-guide-view/land-rover-discovery-d300-r-dynamic-hse/TGFuZCBSb3ZlciBEaXNjb3ZlcnkgRDMwMCBSLUR5bmFtaWMgSFNF/?price=1860900" xr:uid="{03DAAB7F-1E36-4D7F-A0D2-E2644CC13A82}"/>
    <hyperlink ref="B491" r:id="rId490" display="https://www.carmag.co.za/car-price-guide-view/land-rover-discovery-p360-r-dynamic-hse/TGFuZCBSb3ZlciBEaXNjb3ZlcnkgUDM2MCBSLUR5bmFtaWMgSFNF/?price=1861700" xr:uid="{0C3BC036-D6CB-4C1D-88A9-357FB7C6A84E}"/>
    <hyperlink ref="B492" r:id="rId491" display="https://www.carmag.co.za/car-price-guide-view/jaguar-f-pace-p400e-awd-r-dynamic-hse/SmFndWFyIEYtUGFjZSBQNDAwZSBBV0QgUi1EeW5hbWljIEhTRQ==/?price=1869000" xr:uid="{16722CA1-F6A9-47A3-A898-8FE223CE931F}"/>
    <hyperlink ref="B493" r:id="rId492" display="https://www.carmag.co.za/car-price-guide-view/land-rover-defender-110-p400e-x-dynamic-hse/TGFuZCBSb3ZlciBEZWZlbmRlciAxMTAgUDQwMGUgWC1EeW5hbWljIEhTRQ==/?price=1874300" xr:uid="{843DE02B-7D2C-4504-8408-35F94F18570C}"/>
    <hyperlink ref="B494" r:id="rId493" display="https://www.carmag.co.za/car-price-guide-view/land-rover-defender-110-p400-x/TGFuZCBSb3ZlciBEZWZlbmRlciAxMTAgUDQwMCBY/?price=1875700" xr:uid="{43B07A77-FB82-4ED4-AF8E-173CF388B901}"/>
    <hyperlink ref="B495" r:id="rId494" display="https://www.carmag.co.za/car-price-guide-view/toyota-land-cruiser-300-3-3d-zx/VG95b3RhIExhbmQgQ3J1aXNlciAzMDAgMy4zRCBaWA==/?price=1892000" xr:uid="{674C33F6-7311-434D-839A-15D698B9E7CA}"/>
    <hyperlink ref="B496" r:id="rId495" display="https://www.carmag.co.za/car-price-guide-view/land-rover-range-rover-velar-p400e-dynamic-se/TGFuZCBSb3ZlciBSYW5nZSBSb3ZlciBWZWxhciBQNDAwZSBEeW5hbWljIFNF/?price=1905000" xr:uid="{EA3DEEC8-7C84-4406-A430-D8C1E26FFB9C}"/>
    <hyperlink ref="B497" r:id="rId496" display="https://www.carmag.co.za/car-price-guide-view/porsche-cayenne-s-coupe-platinum-edition/UG9yc2NoZSBDYXllbm5lIFMgQ291cMOpIFBsYXRpbnVtIEVkaXRpb24=/?price=1912000" xr:uid="{B517C36D-18F3-4945-A1F0-419D304D069E}"/>
    <hyperlink ref="B498" r:id="rId497" display="https://www.carmag.co.za/car-price-guide-view/land-rover-discovery-d300-metropolitan-edition/TGFuZCBSb3ZlciBEaXNjb3ZlcnkgRDMwMCBNZXRyb3BvbGl0YW4gRWRpdGlvbg==/?price=1916900" xr:uid="{E5182DDD-1A91-4163-8F25-BC44643FF8DA}"/>
    <hyperlink ref="B499" r:id="rId498" display="https://www.carmag.co.za/car-price-guide-view/land-rover-discovery-p360-metropolitan-edition/TGFuZCBSb3ZlciBEaXNjb3ZlcnkgUDM2MCBNZXRyb3BvbGl0YW4gRWRpdGlvbg==/?price=1917700" xr:uid="{1450C7E4-084B-41F1-9385-2A6C999034B1}"/>
    <hyperlink ref="B500" r:id="rId499" display="https://www.carmag.co.za/car-price-guide-view/porsche-cayenne-gts-coupe/UG9yc2NoZSBDYXllbm5lIEdUUyBDb3Vww6k=/?price=1922000" xr:uid="{9761D2D0-E6B0-4000-9AEB-9DFCC0E091A8}"/>
    <hyperlink ref="B501" r:id="rId500" display="https://www.carmag.co.za/car-price-guide-view/land-rover-defender-130-d300-x/TGFuZCBSb3ZlciBEZWZlbmRlciAxMzAgRDMwMCBY/?price=1924600" xr:uid="{BF3AFFAA-8E9B-4074-B499-C4FE23F51E64}"/>
    <hyperlink ref="B502" r:id="rId501" display="https://www.carmag.co.za/car-price-guide-view/toyota-land-cruiser-300-3-5t-zx/VG95b3RhIExhbmQgQ3J1aXNlciAzMDAgMy41VCBaWA==/?price=1925800" xr:uid="{7275CA8F-7B3B-44A4-B747-7590E8DF0E01}"/>
    <hyperlink ref="B503" r:id="rId502" display="https://www.carmag.co.za/car-price-guide-view/alfa-romeo-stelvio-quadrifoglio-q4/QWxmYSBSb21lbyBTdGVsdmlvIFF1YWRyaWZvZ2xpbyBRNA==/?price=1936900" xr:uid="{81555B2F-804D-40D9-B0BA-08D2527962F8}"/>
    <hyperlink ref="B504" r:id="rId503" display="https://www.carmag.co.za/car-price-guide-view/toyota-land-cruiser-300-3-3d-gr-sport/VG95b3RhIExhbmQgQ3J1aXNlciAzMDAgMy4zRCBHUi1TcG9ydA==/?price=1941700" xr:uid="{C74A0425-CA76-4083-939F-1A4D74277B75}"/>
    <hyperlink ref="B505" r:id="rId504" display="https://www.carmag.co.za/car-price-guide-view/porsche-cayenne-e-hybrid/UG9yc2NoZSBDYXllbm5lIGUtaHlicmlk/?price=1949000" xr:uid="{88971A72-BBE7-459C-9B15-7E1E4E5A231F}"/>
    <hyperlink ref="B506" r:id="rId505" display="https://www.carmag.co.za/car-price-guide-view/land-rover-defender-110-p400e-x/TGFuZCBSb3ZlciBEZWZlbmRlciAxMTAgUDQwMGUgWA==/?price=1949300" xr:uid="{11880DC9-98DD-409E-8AFA-A71B942C8A54}"/>
    <hyperlink ref="B507" r:id="rId506" display="https://www.carmag.co.za/car-price-guide-view/maserati-grecale-modena/TWFzZXJhdGkgR3JlY2FsZSBNb2RlbmE=/?price=1950000" xr:uid="{03AA1B3B-9B7A-4FE2-8034-678ED798AD93}"/>
    <hyperlink ref="B508" r:id="rId507" display="https://www.carmag.co.za/car-price-guide-view/bmw-x7-xdrive40d-design-pure-excellence/Qk1XIFg3IHhEcml2ZTQwZCBEZXNpZ24gUHVyZSBFeGNlbGxlbmNl/?price=1962457" xr:uid="{84EE13C3-73BC-4AA2-97C3-295F490F9244}"/>
    <hyperlink ref="B509" r:id="rId508" display="https://www.carmag.co.za/car-price-guide-view/land-rover-defender-130-p400-x/TGFuZCBSb3ZlciBEZWZlbmRlciAxMzAgUDQwMCBY/?price=1974500" xr:uid="{BA5C15D6-8D47-4129-84D1-31F51D539869}"/>
    <hyperlink ref="B510" r:id="rId509" display="https://www.carmag.co.za/car-price-guide-view/toyota-land-cruiser-300-3-5t-gr-sport/VG95b3RhIExhbmQgQ3J1aXNlciAzMDAgMy41VCBHUi1TcG9ydA==/?price=1974900" xr:uid="{418A90FB-7336-41DF-A0EB-B9952DEB2380}"/>
    <hyperlink ref="B511" r:id="rId510" display="https://www.carmag.co.za/car-price-guide-view/bmw-x5-m50d/Qk1XIFg1IE01MGQ=/?price=1984573" xr:uid="{21CF3AB6-681B-40C5-81E4-D1816AF4ACEB}"/>
    <hyperlink ref="B512" r:id="rId511" display="https://www.carmag.co.za/car-price-guide-view/jaguar-f-pace-svr/SmFndWFyIEYtUGFjZSBTVlI=/?price=1995000" xr:uid="{7BA6C204-AC6F-4A3C-A8EC-9304974E3F25}"/>
    <hyperlink ref="B513" r:id="rId512" display="https://www.carmag.co.za/car-price-guide-view/bmw-x5-m50i/Qk1XIFg1IE01MGk=/?price=1995502" xr:uid="{CCE1C851-7963-4AF3-A693-D4679C768AA4}"/>
    <hyperlink ref="B514" r:id="rId513" display="https://www.carmag.co.za/car-price-guide-view/land-rover-range-rover-velar-p400e-dynamic-hse/TGFuZCBSb3ZlciBSYW5nZSBSb3ZlciBWZWxhciBQNDAwZSBEeW5hbWljIEhTRQ==/?price=2008000" xr:uid="{628A1129-735A-4F4B-A218-2B36EDCDE6DA}"/>
    <hyperlink ref="B515" r:id="rId514" display="https://www.carmag.co.za/car-price-guide-view/land-rover-range-rover-sport-d350-dynamic-s/TGFuZCBSb3ZlciBSYW5nZSBSb3ZlciBTcG9ydCBEMzUwIER5bmFtaWMgUw==/?price=2020100" xr:uid="{8EFE86EC-30CD-4450-A524-4D3484E0693F}"/>
    <hyperlink ref="B516" r:id="rId515" display="https://www.carmag.co.za/car-price-guide-view/land-rover-range-rover-sport-p400-dynamic-s/TGFuZCBSb3ZlciBSYW5nZSBSb3ZlciBTcG9ydCBQNDAwIER5bmFtaWMgUw==/?price=2023600" xr:uid="{5A8A201B-AB7B-4B5E-9B7C-277A6A866110}"/>
    <hyperlink ref="B517" r:id="rId516" display="https://www.carmag.co.za/car-price-guide-view/bmw-x7-xdrive40d-m-sport/Qk1XIFg3IHhEcml2ZTQwZCBNIFNwb3J0/?price=2037457" xr:uid="{F438DD86-D3A9-4982-8748-63629FD18BAA}"/>
    <hyperlink ref="B518" r:id="rId517" display="https://www.carmag.co.za/car-price-guide-view/mercedes-benz-gls400d-4matic/TWVyY2VkZXMtQmVueiBHTFM0MDBkIDRNYXRpYw==/?price=2041243" xr:uid="{116C5B7E-ADB8-4C63-8A43-F0C859838C1A}"/>
    <hyperlink ref="B519" r:id="rId518" display="https://www.carmag.co.za/car-price-guide-view/audi-e-tron-55-quattro-s-line/QXVkaSBlLXRyb24gNTUgcXVhdHRybyBTIGxpbmU=/?price=2045000" xr:uid="{7BE418CB-C1D9-4934-9832-9DCB6397AAD4}"/>
    <hyperlink ref="B520" r:id="rId519" display="https://www.carmag.co.za/car-price-guide-view/mercedes-benz-gle400d-coupe-4matic-amg-line/TWVyY2VkZXMtQmVueiBHTEU0MDBkIENvdXDDqSA0TWF0aWMgQU1HIExpbmU=/?price=2064107" xr:uid="{9EA9BD4D-57F9-40D5-8BF9-0AC9083256F7}"/>
    <hyperlink ref="B521" r:id="rId520" display="https://www.carmag.co.za/car-price-guide-view/bmw-x3-m-competition/Qk1XIFgzIE0gY29tcGV0aXRpb24=/?price=2072618" xr:uid="{E503E245-3773-4C9E-B071-6C146F5E5780}"/>
    <hyperlink ref="B522" r:id="rId521" display="https://www.carmag.co.za/car-price-guide-view/land-rover-range-rover-sport-d350-dynamic-se/TGFuZCBSb3ZlciBSYW5nZSBSb3ZlciBTcG9ydCBEMzUwIER5bmFtaWMgU0U=/?price=2081000" xr:uid="{384D6FA5-8B5F-4B70-9362-8AD88E413411}"/>
    <hyperlink ref="B523" r:id="rId522" display="https://www.carmag.co.za/car-price-guide-view/land-rover-range-rover-sport-p400-dynamic-se/TGFuZCBSb3ZlciBSYW5nZSBSb3ZlciBTcG9ydCBQNDAwIER5bmFtaWMgU0U=/?price=2084500" xr:uid="{93CC5C5B-905B-4ED8-949A-F7A27A6E08E9}"/>
    <hyperlink ref="B524" r:id="rId523" display="https://www.carmag.co.za/car-price-guide-view/porsche-cayenne-e-hybrid-platinum-edition/UG9yc2NoZSBDYXllbm5lIGUtaHlicmlkIFBsYXRpbnVtIEVkaXRpb24=/?price=2089000" xr:uid="{ECBEC9AA-3C5B-4C90-8E6D-DA6D7BF55C03}"/>
    <hyperlink ref="B525" r:id="rId524" display="https://www.carmag.co.za/car-price-guide-view/bmw-x6-m50d/Qk1XIFg2IE01MGQ=/?price=2104573" xr:uid="{7A22E91C-A54E-45E8-BD7B-B2EC183FC935}"/>
    <hyperlink ref="B526" r:id="rId525" display="https://www.carmag.co.za/car-price-guide-view/audi-e-tron-sportback-55-quattro-s-line/QXVkaSBlLXRyb24gU3BvcnRiYWNrIDU1IHF1YXR0cm8gUyBsaW5l/?price=2115000" xr:uid="{C2AFD922-C41D-43D8-ABD8-7229CABDB137}"/>
    <hyperlink ref="B527" r:id="rId526" display="https://www.carmag.co.za/car-price-guide-view/bmw-x6-m50i/Qk1XIFg2IE01MGk=/?price=2115502" xr:uid="{C361D669-BB6D-4EC3-9FE0-E2829B2E0C9D}"/>
    <hyperlink ref="B528" r:id="rId527" display="https://www.carmag.co.za/car-price-guide-view/porsche-cayenne-e-hybrid-coupe-platinum-edition/UG9yc2NoZSBDYXllbm5lIGUtaHlicmlkIENvdXDDqSBQbGF0aW51bSBFZGl0aW9u/?price=2119000" xr:uid="{938B9119-D468-4136-ADD7-780DB6C6EDAE}"/>
    <hyperlink ref="B529" r:id="rId528" display="https://www.carmag.co.za/car-price-guide-view/bmw-x4-m-competition/Qk1XIFg0IE0gY29tcGV0aXRpb24=/?price=2162618" xr:uid="{1CEF67D3-10A8-4FEF-9357-E489E939FF0D}"/>
    <hyperlink ref="B530" r:id="rId529" display="https://www.carmag.co.za/car-price-guide-view/mercedes-benz-gls400d-4matic-amg-line/TWVyY2VkZXMtQmVueiBHTFM0MDBkIDRNYXRpYyBBTUcgTGluZQ==/?price=2167343" xr:uid="{4B9632D7-6FB8-46FA-8751-07E3D955B78F}"/>
    <hyperlink ref="B531" r:id="rId530" display="https://www.carmag.co.za/car-price-guide-view/maserati-levante-gt/TWFzZXJhdGkgTGV2YW50ZSBHVA==/?price=2175000" xr:uid="{5FF5BE25-D60F-4E39-8F96-78FDECF33DFC}"/>
    <hyperlink ref="B532" r:id="rId531" display="https://www.carmag.co.za/car-price-guide-view/mercedes-amg-gle53-4matic/TWVyY2VkZXMtQU1HIEdMRTUzIDRNYXRpYys=/?price=2180414" xr:uid="{A24B2449-D641-47E3-BCAC-FD925D599EB1}"/>
    <hyperlink ref="B533" r:id="rId532" display="https://www.carmag.co.za/car-price-guide-view/land-rover-range-rover-sport-d350-dynamic-hse/TGFuZCBSb3ZlciBSYW5nZSBSb3ZlciBTcG9ydCBEMzUwIER5bmFtaWMgSFNF/?price=2208100" xr:uid="{FD5C77CF-19D0-4E80-9208-B52129D3C481}"/>
    <hyperlink ref="B534" r:id="rId533" display="https://www.carmag.co.za/car-price-guide-view/mercedes-amg-gle53-coupe-4matic/TWVyY2VkZXMtQU1HIEdMRTUzIENvdXDDqSA0TWF0aWMr/?price=2218611" xr:uid="{C18887A4-416D-42AD-817F-EC822B3DDB36}"/>
    <hyperlink ref="B535" r:id="rId534" display="https://www.carmag.co.za/car-price-guide-view/jaguar-i-pace-ev400-awd-r-dynamic-hse/SmFndWFyIEktUGFjZSBFVjQwMCBBV0QgUi1EeW5hbWljIEhTRQ==/?price=2249000" xr:uid="{7324086B-339C-4CCB-9BA4-653371DF787F}"/>
    <hyperlink ref="B536" r:id="rId535" display="https://www.carmag.co.za/car-price-guide-view/bmw-ix-xdrive50/Qk1XIGlYIHhEcml2ZTUw/?price=2270000" xr:uid="{694A7D8E-961F-4300-9DF3-FEA1E24B36FF}"/>
    <hyperlink ref="B537" r:id="rId536" display="https://www.carmag.co.za/car-price-guide-view/land-rover-range-rover-sport-d350-autobiography/TGFuZCBSb3ZlciBSYW5nZSBSb3ZlciBTcG9ydCBEMzUwIEF1dG9iaW9ncmFwaHk=/?price=2271200" xr:uid="{776FA1F0-D70D-4460-920D-6EBACC13E43B}"/>
    <hyperlink ref="B538" r:id="rId537" display="https://www.carmag.co.za/car-price-guide-view/mercedes-amg-glc63-s-coupe-4matic/TWVyY2VkZXMtQU1HIEdMQzYzIFMgQ291cMOpIDRNYXRpYys=/?price=2290522" xr:uid="{FF25E3A8-3DAD-4DC7-8F79-8D4978E7318B}"/>
    <hyperlink ref="B539" r:id="rId538" display="https://www.carmag.co.za/car-price-guide-view/land-rover-range-rover-sport-d350-first-edition/TGFuZCBSb3ZlciBSYW5nZSBSb3ZlciBTcG9ydCBEMzUwIEZpcnN0IEVkaXRpb24=/?price=2300600" xr:uid="{BFCFBC6A-D08D-4F83-9347-FFF2ECBC36A1}"/>
    <hyperlink ref="B540" r:id="rId539" display="https://www.carmag.co.za/car-price-guide-view/bmw-x7-m60i-xdrive/Qk1XIFg3IE02MGkgeERyaXZl/?price=2316574" xr:uid="{5A62A1D4-5CD3-484A-8705-D1CE0C64E609}"/>
    <hyperlink ref="B541" r:id="rId540" display="https://www.carmag.co.za/car-price-guide-view/mercedes-benz-gls580-4matic/TWVyY2VkZXMtQmVueiBHTFM1ODAgNE1hdGlj/?price=2338552" xr:uid="{6250B05A-2CC6-42F6-BB60-695C3FCC5A82}"/>
    <hyperlink ref="B542" r:id="rId541" display="https://www.carmag.co.za/car-price-guide-view/lexus-lx-500d/TGV4dXMgTFggNTAwZA==/?price=2341000" xr:uid="{5096172E-F942-42BB-9859-E8ECD44DC527}"/>
    <hyperlink ref="B543" r:id="rId542" display="https://www.carmag.co.za/car-price-guide-view/lexus-lx-500d-f-sport/TGV4dXMgTFggNTAwZCBGIFNwb3J0/?price=2350200" xr:uid="{3A7FDB54-7C53-4FB1-84FC-757F14175E43}"/>
    <hyperlink ref="B544" r:id="rId543" display="https://www.carmag.co.za/car-price-guide-view/lexus-lx-600-f-sport/TGV4dXMgTFggNjAwIEYgU3BvcnQ=/?price=2383800" xr:uid="{49743901-960E-4D10-AC0F-A9B76688D0D6}"/>
    <hyperlink ref="B545" r:id="rId544" display="https://www.carmag.co.za/car-price-guide-view/lexus-lx-600/TGV4dXMgTFggNjAw/?price=2398000" xr:uid="{CD011195-E526-4688-A80E-EB8F44D1E9A6}"/>
    <hyperlink ref="B546" r:id="rId545" display="https://www.carmag.co.za/car-price-guide-view/audi-e-tron-s-sportback-quattro/QXVkaSBlLXRyb24gUyBTcG9ydGJhY2sgcXVhdHRybw==/?price=2425000" xr:uid="{97F44A09-66DC-44CD-9BA0-743E61187F9F}"/>
    <hyperlink ref="B547" r:id="rId546" display="https://www.carmag.co.za/car-price-guide-view/mercedes-benz-gls580-4matic-amg-line/TWVyY2VkZXMtQmVueiBHTFM1ODAgNE1hdGljIEFNRyBMaW5l/?price=2435652" xr:uid="{DEFFAE0A-62FC-4B6C-98DF-4D66DE8C7F8B}"/>
    <hyperlink ref="B548" r:id="rId547" display="https://www.carmag.co.za/car-price-guide-view/land-rover-defender-90-v8/TGFuZCBSb3ZlciBEZWZlbmRlciA5MCBWOA==/?price=2528600" xr:uid="{A41A6B37-0262-4B2E-8A00-24487E93C2FD}"/>
    <hyperlink ref="B549" r:id="rId548" display="https://www.carmag.co.za/car-price-guide-view/maserati-grecale-trofeo/TWFzZXJhdGkgR3JlY2FsZSBUcm9mZW8=/?price=2550000" xr:uid="{F6FC86FB-8C79-4B7E-A393-77CED3B65370}"/>
    <hyperlink ref="B550" r:id="rId549" display="https://www.carmag.co.za/car-price-guide-view/audi-rsq8-quattro/QXVkaSBSU1E4IHF1YXR0cm8=/?price=2625000" xr:uid="{38A513E6-08E9-48BD-82ED-F053450192EC}"/>
    <hyperlink ref="B551" r:id="rId550" display="https://www.carmag.co.za/car-price-guide-view/land-rover-defender-90-v8-carpathian-edition/TGFuZCBSb3ZlciBEZWZlbmRlciA5MCBWOCBDYXJwYXRoaWFuIEVkaXRpb24=/?price=2628600" xr:uid="{A91F2A17-CDB3-4980-ABB1-818F7A15DE56}"/>
    <hyperlink ref="B552" r:id="rId551" display="https://www.carmag.co.za/car-price-guide-view/porsche-cayenne-turbo/UG9yc2NoZSBDYXllbm5lIHR1cmJv/?price=2635000" xr:uid="{34C206DA-C20B-482B-8247-33DD0E8A0F85}"/>
    <hyperlink ref="B553" r:id="rId552" display="https://www.carmag.co.za/car-price-guide-view/land-rover-defender-110-v8/TGFuZCBSb3ZlciBEZWZlbmRlciAxMTAgVjg=/?price=2648600" xr:uid="{76738CEA-E37E-4565-A79E-215204BC1A48}"/>
    <hyperlink ref="B554" r:id="rId553" display="https://www.carmag.co.za/car-price-guide-view/porsche-cayenne-turbo-coupe/UG9yc2NoZSBDYXllbm5lIHR1cmJvIENvdXDDqQ==/?price=2706000" xr:uid="{EFDA53E7-B7B5-4763-AA24-FC832873E212}"/>
    <hyperlink ref="B555" r:id="rId554" display="https://www.carmag.co.za/car-price-guide-view/land-rover-defender-110-v8-carpathian-edition/TGFuZCBSb3ZlciBEZWZlbmRlciAxMTAgVjggQ2FycGF0aGlhbiBFZGl0aW9u/?price=2749600" xr:uid="{7EE27E76-2A0F-446E-B521-EE04B5EC4653}"/>
    <hyperlink ref="B556" r:id="rId555" display="https://www.carmag.co.za/car-price-guide-view/land-rover-range-rover-sport-p510e-autobiography/TGFuZCBSb3ZlciBSYW5nZSBSb3ZlciBTcG9ydCBQNTEwZSBBdXRvYmlvZ3JhcGh5/?price=2780600" xr:uid="{D857BB5C-C409-46E1-9A3D-EC51D5AD02F2}"/>
    <hyperlink ref="B557" r:id="rId556" display="https://www.carmag.co.za/car-price-guide-view/lexus-lx-600-vip/TGV4dXMgTFggNjAwIFZJUA==/?price=2787500" xr:uid="{4EE7747D-FF5E-4608-9BE6-2BB200F40B39}"/>
    <hyperlink ref="B558" r:id="rId557" display="https://www.carmag.co.za/car-price-guide-view/land-rover-range-rover-sport-p510e-first-edition/TGFuZCBSb3ZlciBSYW5nZSBSb3ZlciBTcG9ydCBQNTEwZSBGaXJzdCBFZGl0aW9u/?price=2810100" xr:uid="{38F898C5-967D-4DE8-B8D5-571DF47609C8}"/>
    <hyperlink ref="B559" r:id="rId558" display="https://www.carmag.co.za/car-price-guide-view/land-rover-range-rover-d350-se/TGFuZCBSb3ZlciBSYW5nZSBSb3ZlciBEMzUwIFNF/?price=2848600" xr:uid="{A51B843F-0A48-485F-8986-D0BC05D19C3A}"/>
    <hyperlink ref="B560" r:id="rId559" display="https://www.carmag.co.za/car-price-guide-view/maserati-levante-modena/TWFzZXJhdGkgTGV2YW50ZSBNb2RlbmE=/?price=2875000" xr:uid="{EEA8FF39-8CCB-40C1-AAF6-1A85C091596D}"/>
    <hyperlink ref="B561" r:id="rId560" display="https://www.carmag.co.za/car-price-guide-view/mercedes-benz-g400d-amg-line/TWVyY2VkZXMtQmVueiBHNDAwZCBBTUcgTGluZQ==/?price=2893333" xr:uid="{7A01A4D0-F822-415D-9E32-ACABB16CDE07}"/>
    <hyperlink ref="B562" r:id="rId561" display="https://www.carmag.co.za/car-price-guide-view/bmw-x5-m-competition/Qk1XIFg1IE0gY29tcGV0aXRpb24=/?price=2928994" xr:uid="{A7D93A90-A868-4AC0-B347-9AA61A0599F7}"/>
    <hyperlink ref="B563" r:id="rId562" display="https://www.carmag.co.za/car-price-guide-view/land-rover-range-rover-d350-hse/TGFuZCBSb3ZlciBSYW5nZSBSb3ZlciBEMzUwIEhTRQ==/?price=2966600" xr:uid="{90FC8010-2885-4E7D-BFA5-8F050AB2837A}"/>
    <hyperlink ref="B564" r:id="rId563" display="https://www.carmag.co.za/car-price-guide-view/land-rover-range-rover-d350-se-l-7-seats/TGFuZCBSb3ZlciBSYW5nZSBSb3ZlciBEMzUwIFNFIEwgNyBzZWF0cw==/?price=2967600" xr:uid="{BCB8A0E8-2E9B-47AF-9BBD-E3D9E332119E}"/>
    <hyperlink ref="B565" r:id="rId564" display="https://www.carmag.co.za/car-price-guide-view/bmw-x6-m-competition/Qk1XIFg2IE0gY29tcGV0aXRpb24=/?price=3028842" xr:uid="{135C94ED-A60F-4842-9B85-73E10D33C02A}"/>
    <hyperlink ref="B566" r:id="rId565" display="https://www.carmag.co.za/car-price-guide-view/land-rover-range-rover-sport-p530-first-edition/TGFuZCBSb3ZlciBSYW5nZSBSb3ZlciBTcG9ydCBQNTMwIEZpcnN0IEVkaXRpb24=/?price=3042500" xr:uid="{0F343778-0B82-4F95-A70B-96F3B7287463}"/>
    <hyperlink ref="B567" r:id="rId566" display="https://www.carmag.co.za/car-price-guide-view/land-rover-range-rover-p530-hse/TGFuZCBSb3ZlciBSYW5nZSBSb3ZlciBQNTMwIEhTRQ==/?price=3148600" xr:uid="{3D3D0481-B484-46C0-99B9-138966A85DE5}"/>
    <hyperlink ref="B568" r:id="rId567" display="https://www.carmag.co.za/car-price-guide-view/porsche-cayenne-turbo-s-e-hybrid/UG9yc2NoZSBDYXllbm5lIHR1cmJvIFMgZS1oeWJyaWQ=/?price=3277000" xr:uid="{E722DAA6-DD73-4A71-920D-973F7C3C79B6}"/>
    <hyperlink ref="B569" r:id="rId568" display="https://www.carmag.co.za/car-price-guide-view/mercedes-amg-gle63-s-4matic/TWVyY2VkZXMtQU1HIEdMRTYzIFMgNE1hdGljKw==/?price=3337137" xr:uid="{EC8BF296-FDE1-423E-B76C-6545B5496675}"/>
    <hyperlink ref="B570" r:id="rId569" display="https://www.carmag.co.za/car-price-guide-view/porsche-cayenne-turbo-s-e-hybrid-coupe/UG9yc2NoZSBDYXllbm5lIHR1cmJvIFMgZS1oeWJyaWQgQ291cMOp/?price=3358000" xr:uid="{CA96FA17-1021-4061-BBA0-4DBE32B7B07C}"/>
    <hyperlink ref="B571" r:id="rId570" display="https://www.carmag.co.za/car-price-guide-view/bmw-xm/Qk1XIFhN/?price=3400000" xr:uid="{66148E08-23A1-4509-8446-AD4B756EF3F1}"/>
    <hyperlink ref="B572" r:id="rId571" display="https://www.carmag.co.za/car-price-guide-view/mercedes-amg-gls63-4matic/TWVyY2VkZXMtQU1HIEdMUzYzIDRNYXRpYys=/?price=3401662" xr:uid="{8F9773C0-2803-4140-A811-9ACEC3D05A46}"/>
    <hyperlink ref="B573" r:id="rId572" display="https://www.carmag.co.za/car-price-guide-view/mercedes-amg-gle63-s-coupe-4matic/TWVyY2VkZXMtQU1HIEdMRTYzIFMgQ291cMOpIDRNYXRpYys=/?price=3405844" xr:uid="{0689742E-1419-4AD4-A3E2-C374541F3980}"/>
    <hyperlink ref="B574" r:id="rId573" display="https://www.carmag.co.za/car-price-guide-view/land-rover-range-rover-d350-autobiography/TGFuZCBSb3ZlciBSYW5nZSBSb3ZlciBEMzUwIEF1dG9iaW9ncmFwaHk=/?price=3428600" xr:uid="{06AEF880-EF04-4287-804E-50F8036A8450}"/>
    <hyperlink ref="B575" r:id="rId574" display="https://www.carmag.co.za/car-price-guide-view/porsche-cayenne-turbo-gt/UG9yc2NoZSBDYXllbm5lIHR1cmJvIEdU/?price=3500000" xr:uid="{0C7B0B53-F85F-43C6-9847-53DCDFA8350B}"/>
    <hyperlink ref="B576" r:id="rId575" display="https://www.carmag.co.za/car-price-guide-view/land-rover-range-rover-d350-autobiography-l/TGFuZCBSb3ZlciBSYW5nZSBSb3ZlciBEMzUwIEF1dG9iaW9ncmFwaHkgTA==/?price=3513600" xr:uid="{1C0632EB-28F9-4F57-B65D-658460E609FA}"/>
    <hyperlink ref="B577" r:id="rId576" display="https://www.carmag.co.za/car-price-guide-view/land-rover-range-rover-d350-autobiography-l-7-seats/TGFuZCBSb3ZlciBSYW5nZSBSb3ZlciBEMzUwIEF1dG9iaW9ncmFwaHkgTCA3IHNlYXRz/?price=3544600" xr:uid="{3699BB6A-558E-4FB1-9B1A-26B04E5DCDE9}"/>
    <hyperlink ref="B578" r:id="rId577" display="https://www.carmag.co.za/car-price-guide-view/land-rover-range-rover-d350-first-edition/TGFuZCBSb3ZlciBSYW5nZSBSb3ZlciBEMzUwIEZpcnN0IEVkaXRpb24=/?price=3556600" xr:uid="{C6C0F8F3-FF20-4F9E-BEB2-7F59C6DA86A2}"/>
    <hyperlink ref="B579" r:id="rId578" display="https://www.carmag.co.za/car-price-guide-view/mercedes-amg-g63/TWVyY2VkZXMtQU1HIEc2Mw==/?price=3561868" xr:uid="{B909134E-9CA2-4032-9430-56B68BFC433F}"/>
    <hyperlink ref="B580" r:id="rId579" display="https://www.carmag.co.za/car-price-guide-view/land-rover-range-rover-p530-autobiography/TGFuZCBSb3ZlciBSYW5nZSBSb3ZlciBQNTMwIEF1dG9iaW9ncmFwaHk=/?price=3610600" xr:uid="{3F63E4E2-B06D-4438-884B-516465EC4B70}"/>
    <hyperlink ref="B581" r:id="rId580" display="https://www.carmag.co.za/car-price-guide-view/land-rover-range-rover-p510e-autobiography/TGFuZCBSb3ZlciBSYW5nZSBSb3ZlciBQNTEwZSBBdXRvYmlvZ3JhcGh5/?price=3637300" xr:uid="{48DF6F1F-AE76-4775-A1DD-D92CAFFDC55A}"/>
    <hyperlink ref="B582" r:id="rId581" display="https://www.carmag.co.za/car-price-guide-view/land-rover-range-rover-d350-first-edition-l/TGFuZCBSb3ZlciBSYW5nZSBSb3ZlciBEMzUwIEZpcnN0IEVkaXRpb24gTA==/?price=3640600" xr:uid="{195A1353-CDDA-4E17-BF91-87CCD5133EF7}"/>
    <hyperlink ref="B583" r:id="rId582" display="https://www.carmag.co.za/car-price-guide-view/mercedes-maybach-gls600/TWVyY2VkZXMtTWF5YmFjaCBHTFM2MDA=/?price=3652592" xr:uid="{7668F1F3-20D1-4DDD-9AA9-7CD171268A0B}"/>
    <hyperlink ref="B584" r:id="rId583" display="https://www.carmag.co.za/car-price-guide-view/land-rover-range-rover-p510e-first-edition/TGFuZCBSb3ZlciBSYW5nZSBSb3ZlciBQNTEwZSBGaXJzdCBFZGl0aW9u/?price=3693300" xr:uid="{BF716DA5-DC22-4552-A27D-D7256409AE09}"/>
    <hyperlink ref="B585" r:id="rId584" display="https://www.carmag.co.za/car-price-guide-view/land-rover-range-rover-p530-autobiography-l/TGFuZCBSb3ZlciBSYW5nZSBSb3ZlciBQNTMwIEF1dG9iaW9ncmFwaHkgTA==/?price=3695600" xr:uid="{BA0F23DE-53DC-46C6-BEC6-58E87F01CD00}"/>
    <hyperlink ref="B586" r:id="rId585" display="https://www.carmag.co.za/car-price-guide-view/land-rover-range-rover-p530-first-edition/TGFuZCBSb3ZlciBSYW5nZSBSb3ZlciBQNTMwIEZpcnN0IEVkaXRpb24=/?price=3719600" xr:uid="{1508AEF7-4C82-41F7-B39D-6BA871277BA3}"/>
    <hyperlink ref="B587" r:id="rId586" display="https://www.carmag.co.za/car-price-guide-view/land-rover-range-rover-p530-autobiography-l-7-seats/TGFuZCBSb3ZlciBSYW5nZSBSb3ZlciBQNTMwIEF1dG9iaW9ncmFwaHkgTCA3IHNlYXRz/?price=3726600" xr:uid="{4D36F7B3-DA1B-40B4-9B4F-DC8F68E2F31C}"/>
    <hyperlink ref="B588" r:id="rId587" display="https://www.carmag.co.za/car-price-guide-view/land-rover-range-rover-p530-first-edition-l/TGFuZCBSb3ZlciBSYW5nZSBSb3ZlciBQNTMwIEZpcnN0IEVkaXRpb24gTA==/?price=3804600" xr:uid="{282ABE41-57B6-4A1D-A920-34952BE8A4AD}"/>
    <hyperlink ref="B589" r:id="rId588" display="https://www.carmag.co.za/car-price-guide-view/land-rover-range-rover-d350-sv/TGFuZCBSb3ZlciBSYW5nZSBSb3ZlciBEMzUwIFNW/?price=3992600" xr:uid="{CFE4DA0D-D4A3-4981-94C6-61CBDA82FF7A}"/>
    <hyperlink ref="B590" r:id="rId589" display="https://www.carmag.co.za/car-price-guide-view/land-rover-range-rover-p530-sv/TGFuZCBSb3ZlciBSYW5nZSBSb3ZlciBQNTMwIFNW/?price=4069600" xr:uid="{431DC6AC-26C5-49A9-813B-66BB2D6664C3}"/>
    <hyperlink ref="B591" r:id="rId590" display="https://www.carmag.co.za/car-price-guide-view/land-rover-range-rover-p510e-sv/TGFuZCBSb3ZlciBSYW5nZSBSb3ZlciBQNTEwZSBTVg==/?price=4085300" xr:uid="{9850EB00-F9BA-4DD5-B419-0EB0A741798C}"/>
    <hyperlink ref="B592" r:id="rId591" display="https://www.carmag.co.za/car-price-guide-view/maserati-levante-trofeo/TWFzZXJhdGkgTGV2YW50ZSBUcm9mZW8=/?price=4250000" xr:uid="{A2A9909D-37A0-4901-ABC7-023AB4D0C3BF}"/>
    <hyperlink ref="B593" r:id="rId592" display="https://www.carmag.co.za/car-price-guide-view/lamborghini-urus-s/TGFtYm9yZ2hpbmkgVXJ1cyBT/?price=4395000" xr:uid="{E81AC25D-15D8-4C7A-99B5-2AE524F2526F}"/>
    <hyperlink ref="B594" r:id="rId593" display="https://www.carmag.co.za/car-price-guide-view/land-rover-range-rover-d350-sv-l/TGFuZCBSb3ZlciBSYW5nZSBSb3ZlciBEMzUwIFNWIEw=/?price=4426600" xr:uid="{EFD2D835-737C-4E82-AB31-EA8A3DACA2E8}"/>
    <hyperlink ref="B595" r:id="rId594" display="https://www.carmag.co.za/car-price-guide-view/bentley-bentayga-v8/QmVudGxleSBCZW50YXlnYSBWOA==/?price=4480000" xr:uid="{3CF7BCAC-5549-4646-893C-F4994F9FA79B}"/>
    <hyperlink ref="B596" r:id="rId595" display="https://www.carmag.co.za/car-price-guide-view/land-rover-range-rover-p530-sv-l/TGFuZCBSb3ZlciBSYW5nZSBSb3ZlciBQNTMwIFNWIEw=/?price=4504600" xr:uid="{ACF95028-6DA9-4A80-9FE8-D124B31C913C}"/>
    <hyperlink ref="B597" r:id="rId596" display="https://www.carmag.co.za/car-price-guide-view/lamborghini-urus-performante/TGFtYm9yZ2hpbmkgVXJ1cyBQZXJmb3JtYW50ZQ==/?price=4795000" xr:uid="{688CC9A6-B348-4F5A-A61B-BC1329D2A9D3}"/>
    <hyperlink ref="B598" r:id="rId597" display="https://www.carmag.co.za/car-price-guide-view/bentley-bentayga-s/QmVudGxleSBCZW50YXlnYSBT/?price=5310000" xr:uid="{CF55D9BB-06D3-4272-BC9F-0577DC80C0D0}"/>
    <hyperlink ref="B599" r:id="rId598" display="https://www.carmag.co.za/car-price-guide-view/bentley-bentayga-azure/QmVudGxleSBCZW50YXlnYSBBenVyZQ==/?price=5390000" xr:uid="{27D039E3-AA6D-4971-B86C-C81DA84F75CE}"/>
    <hyperlink ref="B600" r:id="rId599" display="https://www.carmag.co.za/car-price-guide-view/bentley-bentayga-ewb-azure/QmVudGxleSBCZW50YXlnYSBFV0IgQXp1cmU=/?price=5770000" xr:uid="{02859C4F-1761-4D7B-9095-37CA2C063874}"/>
    <hyperlink ref="B601" r:id="rId600" display="https://www.carmag.co.za/car-price-guide-view/bentley-bentayga-speed/QmVudGxleSBCZW50YXlnYSBTcGVlZA==/?price=5820000" xr:uid="{1904FE84-04DB-482A-A784-DA86BEE2B0B3}"/>
  </hyperlinks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4C59-31F7-4BCF-91E4-827FBD89ACE3}">
  <dimension ref="B1:D182"/>
  <sheetViews>
    <sheetView topLeftCell="A157" workbookViewId="0">
      <selection activeCell="C2" sqref="C2:D182"/>
    </sheetView>
  </sheetViews>
  <sheetFormatPr defaultRowHeight="14.5" x14ac:dyDescent="0.35"/>
  <cols>
    <col min="2" max="2" width="89.6328125" customWidth="1"/>
    <col min="3" max="3" width="76.26953125" customWidth="1"/>
    <col min="4" max="4" width="15.7265625" customWidth="1"/>
  </cols>
  <sheetData>
    <row r="1" spans="2:4" x14ac:dyDescent="0.35">
      <c r="B1" s="2" t="s">
        <v>92</v>
      </c>
      <c r="C1" s="2" t="s">
        <v>94</v>
      </c>
      <c r="D1" s="2" t="s">
        <v>93</v>
      </c>
    </row>
    <row r="2" spans="2:4" ht="15" thickBot="1" x14ac:dyDescent="0.4">
      <c r="B2" s="1" t="s">
        <v>1129</v>
      </c>
      <c r="C2" t="str">
        <f>TRIM(LEFT(B2, FIND("©",SUBSTITUTE(B2,"R","©",LEN(B2)-LEN(SUBSTITUTE(B2,"R",""))))-1))</f>
        <v>Nissan NP200 1.6i safety pack</v>
      </c>
      <c r="D2">
        <f>--SUBSTITUTE(TRIM(RIGHT(B2, LEN(B2) - FIND("©",SUBSTITUTE(B2,"R","©",LEN(B2)-LEN(SUBSTITUTE(B2,"R","")))))), " ", "")</f>
        <v>212500</v>
      </c>
    </row>
    <row r="3" spans="2:4" ht="15" thickBot="1" x14ac:dyDescent="0.4">
      <c r="B3" s="1" t="s">
        <v>1130</v>
      </c>
      <c r="C3" t="str">
        <f t="shared" ref="C3:C66" si="0">TRIM(LEFT(B3, FIND("©",SUBSTITUTE(B3,"R","©",LEN(B3)-LEN(SUBSTITUTE(B3,"R",""))))-1))</f>
        <v>Nissan NP200 1.6i safety pack (aircon)</v>
      </c>
      <c r="D3">
        <f t="shared" ref="D3:D66" si="1">--SUBSTITUTE(TRIM(RIGHT(B3, LEN(B3) - FIND("©",SUBSTITUTE(B3,"R","©",LEN(B3)-LEN(SUBSTITUTE(B3,"R","")))))), " ", "")</f>
        <v>230900</v>
      </c>
    </row>
    <row r="4" spans="2:4" ht="15" thickBot="1" x14ac:dyDescent="0.4">
      <c r="B4" s="1" t="s">
        <v>1131</v>
      </c>
      <c r="C4" t="str">
        <f t="shared" si="0"/>
        <v>GWM Steed 5 2.2MPi Single Cab Workhorse</v>
      </c>
      <c r="D4">
        <f t="shared" si="1"/>
        <v>233950</v>
      </c>
    </row>
    <row r="5" spans="2:4" ht="15" thickBot="1" x14ac:dyDescent="0.4">
      <c r="B5" s="1" t="s">
        <v>1132</v>
      </c>
      <c r="C5" t="str">
        <f t="shared" si="0"/>
        <v>Mahindra Pik Up 2.2CRDe Single Cab S4</v>
      </c>
      <c r="D5">
        <f t="shared" si="1"/>
        <v>263999</v>
      </c>
    </row>
    <row r="6" spans="2:4" ht="15" thickBot="1" x14ac:dyDescent="0.4">
      <c r="B6" s="1" t="s">
        <v>1133</v>
      </c>
      <c r="C6" t="str">
        <f t="shared" si="0"/>
        <v>GWM Steed 5 2.0VGT Single Cab S</v>
      </c>
      <c r="D6">
        <f t="shared" si="1"/>
        <v>299950</v>
      </c>
    </row>
    <row r="7" spans="2:4" ht="15" thickBot="1" x14ac:dyDescent="0.4">
      <c r="B7" s="1" t="s">
        <v>1134</v>
      </c>
      <c r="C7" t="str">
        <f t="shared" si="0"/>
        <v>Mahindra Pik Up 2.2CRDe Single Cab 4x4 S4</v>
      </c>
      <c r="D7">
        <f t="shared" si="1"/>
        <v>302999</v>
      </c>
    </row>
    <row r="8" spans="2:4" ht="15" thickBot="1" x14ac:dyDescent="0.4">
      <c r="B8" s="1" t="s">
        <v>1135</v>
      </c>
      <c r="C8" t="str">
        <f t="shared" si="0"/>
        <v>GWM Steed 5 2.0VGT Single Cab S 4WD</v>
      </c>
      <c r="D8">
        <f t="shared" si="1"/>
        <v>330950</v>
      </c>
    </row>
    <row r="9" spans="2:4" ht="15" thickBot="1" x14ac:dyDescent="0.4">
      <c r="B9" s="1" t="s">
        <v>1136</v>
      </c>
      <c r="C9" t="str">
        <f t="shared" si="0"/>
        <v>Mahindra Pik Up 2.2CRDe Single Cab S6</v>
      </c>
      <c r="D9">
        <f t="shared" si="1"/>
        <v>331999</v>
      </c>
    </row>
    <row r="10" spans="2:4" ht="15" thickBot="1" x14ac:dyDescent="0.4">
      <c r="B10" s="1" t="s">
        <v>1137</v>
      </c>
      <c r="C10" t="str">
        <f t="shared" si="0"/>
        <v>Toyota Hilux 2.0 Single Cab S</v>
      </c>
      <c r="D10">
        <f t="shared" si="1"/>
        <v>336100</v>
      </c>
    </row>
    <row r="11" spans="2:4" ht="15" thickBot="1" x14ac:dyDescent="0.4">
      <c r="B11" s="1" t="s">
        <v>1138</v>
      </c>
      <c r="C11" t="str">
        <f t="shared" si="0"/>
        <v>Isuzu D-Max Gen 6 250c Single Cab</v>
      </c>
      <c r="D11">
        <f t="shared" si="1"/>
        <v>340000</v>
      </c>
    </row>
    <row r="12" spans="2:4" ht="15" thickBot="1" x14ac:dyDescent="0.4">
      <c r="B12" s="1" t="s">
        <v>1139</v>
      </c>
      <c r="C12" t="str">
        <f t="shared" si="0"/>
        <v>Nissan Navara 2.5 Single Cab XE</v>
      </c>
      <c r="D12">
        <f t="shared" si="1"/>
        <v>344900</v>
      </c>
    </row>
    <row r="13" spans="2:4" ht="15" thickBot="1" x14ac:dyDescent="0.4">
      <c r="B13" s="1" t="s">
        <v>1140</v>
      </c>
      <c r="C13" t="str">
        <f t="shared" si="0"/>
        <v>GWM Steed 5 2.0VGT Single Cab SX 4WD</v>
      </c>
      <c r="D13">
        <f t="shared" si="1"/>
        <v>344950</v>
      </c>
    </row>
    <row r="14" spans="2:4" ht="15" thickBot="1" x14ac:dyDescent="0.4">
      <c r="B14" s="1" t="s">
        <v>1141</v>
      </c>
      <c r="C14" t="str">
        <f t="shared" si="0"/>
        <v>JAC T6 2.0VVT Double Cab Lux</v>
      </c>
      <c r="D14">
        <f t="shared" si="1"/>
        <v>354900</v>
      </c>
    </row>
    <row r="15" spans="2:4" ht="15" thickBot="1" x14ac:dyDescent="0.4">
      <c r="B15" s="1" t="s">
        <v>1142</v>
      </c>
      <c r="C15" t="str">
        <f t="shared" si="0"/>
        <v>Isuzu D-Max Gen 6 250c Single Cab Fleetside</v>
      </c>
      <c r="D15">
        <f t="shared" si="1"/>
        <v>367500</v>
      </c>
    </row>
    <row r="16" spans="2:4" ht="15" thickBot="1" x14ac:dyDescent="0.4">
      <c r="B16" s="1" t="s">
        <v>1143</v>
      </c>
      <c r="C16" t="str">
        <f t="shared" si="0"/>
        <v>JAC T6 2.8TDi Double Cab Lux</v>
      </c>
      <c r="D16">
        <f t="shared" si="1"/>
        <v>369900</v>
      </c>
    </row>
    <row r="17" spans="2:4" ht="15" thickBot="1" x14ac:dyDescent="0.4">
      <c r="B17" s="1" t="s">
        <v>1144</v>
      </c>
      <c r="C17" t="str">
        <f t="shared" si="0"/>
        <v>Mahindra Pik Up 2.2CRDe Single Cab 4x4 S6</v>
      </c>
      <c r="D17">
        <f t="shared" si="1"/>
        <v>370999</v>
      </c>
    </row>
    <row r="18" spans="2:4" ht="15" thickBot="1" x14ac:dyDescent="0.4">
      <c r="B18" s="1" t="s">
        <v>1145</v>
      </c>
      <c r="C18" t="str">
        <f t="shared" si="0"/>
        <v>JAC T6 1.9TDi Double Cab Comfort</v>
      </c>
      <c r="D18">
        <f t="shared" si="1"/>
        <v>374900</v>
      </c>
    </row>
    <row r="19" spans="2:4" ht="15" thickBot="1" x14ac:dyDescent="0.4">
      <c r="B19" s="1" t="s">
        <v>1146</v>
      </c>
      <c r="C19" t="str">
        <f t="shared" si="0"/>
        <v>GWM Steed 5 2.0VGT Double Cab SX</v>
      </c>
      <c r="D19">
        <f t="shared" si="1"/>
        <v>374950</v>
      </c>
    </row>
    <row r="20" spans="2:4" ht="15" thickBot="1" x14ac:dyDescent="0.4">
      <c r="B20" s="1" t="s">
        <v>1147</v>
      </c>
      <c r="C20" t="str">
        <f t="shared" si="0"/>
        <v>Toyota Hilux 2.4GD Single Cab S</v>
      </c>
      <c r="D20">
        <f t="shared" si="1"/>
        <v>378900</v>
      </c>
    </row>
    <row r="21" spans="2:4" ht="15" thickBot="1" x14ac:dyDescent="0.4">
      <c r="B21" s="1" t="s">
        <v>1148</v>
      </c>
      <c r="C21" t="str">
        <f t="shared" si="0"/>
        <v>Nissan Navara 2.5DDTi Single Cab XE</v>
      </c>
      <c r="D21">
        <f t="shared" si="1"/>
        <v>387200</v>
      </c>
    </row>
    <row r="22" spans="2:4" ht="15" thickBot="1" x14ac:dyDescent="0.4">
      <c r="B22" s="1" t="s">
        <v>1149</v>
      </c>
      <c r="C22" t="str">
        <f t="shared" si="0"/>
        <v>Mahindra Pik Up 2.2CRDe Double Cab S6</v>
      </c>
      <c r="D22">
        <f t="shared" si="1"/>
        <v>389999</v>
      </c>
    </row>
    <row r="23" spans="2:4" ht="15" thickBot="1" x14ac:dyDescent="0.4">
      <c r="B23" s="1" t="s">
        <v>1150</v>
      </c>
      <c r="C23" t="str">
        <f t="shared" si="0"/>
        <v>Isuzu D-Max Gen 6 250 Single Cab Fleetside safety</v>
      </c>
      <c r="D23">
        <f t="shared" si="1"/>
        <v>394100</v>
      </c>
    </row>
    <row r="24" spans="2:4" ht="15" thickBot="1" x14ac:dyDescent="0.4">
      <c r="B24" s="1" t="s">
        <v>1151</v>
      </c>
      <c r="C24" t="str">
        <f t="shared" si="0"/>
        <v>GWM P-Series 2.0TD Single Cab SX</v>
      </c>
      <c r="D24">
        <f t="shared" si="1"/>
        <v>404950</v>
      </c>
    </row>
    <row r="25" spans="2:4" ht="15" thickBot="1" x14ac:dyDescent="0.4">
      <c r="B25" s="1" t="s">
        <v>1152</v>
      </c>
      <c r="C25" t="str">
        <f t="shared" si="0"/>
        <v>GWM Steed 5 2.0VGT Double Cab SX 4WD</v>
      </c>
      <c r="D25">
        <f t="shared" si="1"/>
        <v>406950</v>
      </c>
    </row>
    <row r="26" spans="2:4" ht="15" thickBot="1" x14ac:dyDescent="0.4">
      <c r="B26" s="1" t="s">
        <v>1153</v>
      </c>
      <c r="C26" t="str">
        <f t="shared" si="0"/>
        <v>Mahindra Pik Up 2.2CRDe Double Cab S6 Karoo</v>
      </c>
      <c r="D26">
        <f t="shared" si="1"/>
        <v>410999</v>
      </c>
    </row>
    <row r="27" spans="2:4" ht="15" thickBot="1" x14ac:dyDescent="0.4">
      <c r="B27" s="1" t="s">
        <v>1154</v>
      </c>
      <c r="C27" t="str">
        <f t="shared" si="0"/>
        <v>Isuzu D-Max 1.9TD Single Cab</v>
      </c>
      <c r="D27">
        <f t="shared" si="1"/>
        <v>411800</v>
      </c>
    </row>
    <row r="28" spans="2:4" ht="15" thickBot="1" x14ac:dyDescent="0.4">
      <c r="B28" s="1" t="s">
        <v>1155</v>
      </c>
      <c r="C28" t="str">
        <f t="shared" si="0"/>
        <v>JAC T6 2.8TDi Double Cab 4WD Lux</v>
      </c>
      <c r="D28">
        <f t="shared" si="1"/>
        <v>419900</v>
      </c>
    </row>
    <row r="29" spans="2:4" ht="15" thickBot="1" x14ac:dyDescent="0.4">
      <c r="B29" s="1" t="s">
        <v>1156</v>
      </c>
      <c r="C29" t="str">
        <f t="shared" si="0"/>
        <v>Mitsubishi Triton 2.4DI-D Single Cab GL</v>
      </c>
      <c r="D29">
        <f t="shared" si="1"/>
        <v>419995</v>
      </c>
    </row>
    <row r="30" spans="2:4" ht="15" thickBot="1" x14ac:dyDescent="0.4">
      <c r="B30" s="1" t="s">
        <v>1157</v>
      </c>
      <c r="C30" t="str">
        <f t="shared" si="0"/>
        <v>Mahindra Pik Up 2.2CRDe Double Cab S10</v>
      </c>
      <c r="D30">
        <f t="shared" si="1"/>
        <v>420999</v>
      </c>
    </row>
    <row r="31" spans="2:4" ht="15" thickBot="1" x14ac:dyDescent="0.4">
      <c r="B31" s="1" t="s">
        <v>1158</v>
      </c>
      <c r="C31" t="str">
        <f t="shared" si="0"/>
        <v>Mahindra Pik Up 2.2CRDe Double Cab 4x4 S6</v>
      </c>
      <c r="D31">
        <f t="shared" si="1"/>
        <v>428999</v>
      </c>
    </row>
    <row r="32" spans="2:4" ht="15" thickBot="1" x14ac:dyDescent="0.4">
      <c r="B32" s="1" t="s">
        <v>1159</v>
      </c>
      <c r="C32" t="str">
        <f t="shared" si="0"/>
        <v>Isuzu D-Max 1.9TD Single Cab L</v>
      </c>
      <c r="D32">
        <f t="shared" si="1"/>
        <v>431600</v>
      </c>
    </row>
    <row r="33" spans="2:4" ht="15" thickBot="1" x14ac:dyDescent="0.4">
      <c r="B33" s="1" t="s">
        <v>1160</v>
      </c>
      <c r="C33" t="str">
        <f t="shared" si="0"/>
        <v>Toyota Hilux 2.7 Single Cab S</v>
      </c>
      <c r="D33">
        <f t="shared" si="1"/>
        <v>433100</v>
      </c>
    </row>
    <row r="34" spans="2:4" ht="15" thickBot="1" x14ac:dyDescent="0.4">
      <c r="B34" s="1" t="s">
        <v>1161</v>
      </c>
      <c r="C34" t="str">
        <f t="shared" si="0"/>
        <v>GWM P-Series 2.0TD Single Cab DLX</v>
      </c>
      <c r="D34">
        <f t="shared" si="1"/>
        <v>434950</v>
      </c>
    </row>
    <row r="35" spans="2:4" ht="15" thickBot="1" x14ac:dyDescent="0.4">
      <c r="B35" s="1" t="s">
        <v>1162</v>
      </c>
      <c r="C35" t="str">
        <f t="shared" si="0"/>
        <v>GWM P-Series 2.0TD Double Cab SX</v>
      </c>
      <c r="D35">
        <f t="shared" si="1"/>
        <v>435950</v>
      </c>
    </row>
    <row r="36" spans="2:4" ht="15" thickBot="1" x14ac:dyDescent="0.4">
      <c r="B36" s="1" t="s">
        <v>1163</v>
      </c>
      <c r="C36" t="str">
        <f t="shared" si="0"/>
        <v>Mahindra Pik Up 2.2CRDe Double Cab S10 Karoo</v>
      </c>
      <c r="D36">
        <f t="shared" si="1"/>
        <v>440999</v>
      </c>
    </row>
    <row r="37" spans="2:4" ht="15" thickBot="1" x14ac:dyDescent="0.4">
      <c r="B37" s="1" t="s">
        <v>1164</v>
      </c>
      <c r="C37" t="str">
        <f t="shared" si="0"/>
        <v>Mahindra Pik Up 2.2CRDe Double Cab S6 Karoo auto</v>
      </c>
      <c r="D37">
        <f t="shared" si="1"/>
        <v>441999</v>
      </c>
    </row>
    <row r="38" spans="2:4" ht="15" thickBot="1" x14ac:dyDescent="0.4">
      <c r="B38" s="1" t="s">
        <v>1165</v>
      </c>
      <c r="C38" t="str">
        <f t="shared" si="0"/>
        <v>Isuzu D-Max 1.9TD Extended cab</v>
      </c>
      <c r="D38">
        <f t="shared" si="1"/>
        <v>444500</v>
      </c>
    </row>
    <row r="39" spans="2:4" ht="15" thickBot="1" x14ac:dyDescent="0.4">
      <c r="B39" s="1" t="s">
        <v>1166</v>
      </c>
      <c r="C39" t="str">
        <f t="shared" si="0"/>
        <v>JAC T8 2.0CTi Double Cab Lux</v>
      </c>
      <c r="D39">
        <f t="shared" si="1"/>
        <v>449900</v>
      </c>
    </row>
    <row r="40" spans="2:4" ht="15" thickBot="1" x14ac:dyDescent="0.4">
      <c r="B40" s="1" t="s">
        <v>1167</v>
      </c>
      <c r="C40" t="str">
        <f t="shared" si="0"/>
        <v>Mahindra Pik Up 2.2CRDe Double Cab 4x4 S6 Karoo</v>
      </c>
      <c r="D40">
        <f t="shared" si="1"/>
        <v>449999</v>
      </c>
    </row>
    <row r="41" spans="2:4" ht="15" thickBot="1" x14ac:dyDescent="0.4">
      <c r="B41" s="1" t="s">
        <v>1168</v>
      </c>
      <c r="C41" t="str">
        <f t="shared" si="0"/>
        <v>Isuzu D-Max 1.9TD Single Cab L auto</v>
      </c>
      <c r="D41">
        <f t="shared" si="1"/>
        <v>450200</v>
      </c>
    </row>
    <row r="42" spans="2:4" ht="15" thickBot="1" x14ac:dyDescent="0.4">
      <c r="B42" s="1" t="s">
        <v>1169</v>
      </c>
      <c r="C42" t="str">
        <f t="shared" si="0"/>
        <v>Mahindra Pik Up 2.2CRDe Double Cab S11</v>
      </c>
      <c r="D42">
        <f t="shared" si="1"/>
        <v>455999</v>
      </c>
    </row>
    <row r="43" spans="2:4" ht="15" thickBot="1" x14ac:dyDescent="0.4">
      <c r="B43" s="1" t="s">
        <v>1170</v>
      </c>
      <c r="C43" t="str">
        <f t="shared" si="0"/>
        <v>Isuzu D-Max 1.9TD Extended cab L</v>
      </c>
      <c r="D43">
        <f t="shared" si="1"/>
        <v>459800</v>
      </c>
    </row>
    <row r="44" spans="2:4" ht="15" thickBot="1" x14ac:dyDescent="0.4">
      <c r="B44" s="1" t="s">
        <v>1171</v>
      </c>
      <c r="C44" t="str">
        <f t="shared" si="0"/>
        <v>GWM P-Series 2.0TD Single Cab SX 4x4</v>
      </c>
      <c r="D44">
        <f t="shared" si="1"/>
        <v>459950</v>
      </c>
    </row>
    <row r="45" spans="2:4" ht="15" thickBot="1" x14ac:dyDescent="0.4">
      <c r="B45" s="1" t="s">
        <v>1172</v>
      </c>
      <c r="C45" t="str">
        <f t="shared" si="0"/>
        <v>Mahindra Pik Up 2.2CRDe Double Cab 4x4 S10</v>
      </c>
      <c r="D45">
        <f t="shared" si="1"/>
        <v>459999</v>
      </c>
    </row>
    <row r="46" spans="2:4" ht="15" thickBot="1" x14ac:dyDescent="0.4">
      <c r="B46" s="1" t="s">
        <v>1173</v>
      </c>
      <c r="C46" t="str">
        <f t="shared" si="0"/>
        <v>GWM P-Series 2.0TD Double Cab DLX</v>
      </c>
      <c r="D46">
        <f t="shared" si="1"/>
        <v>463950</v>
      </c>
    </row>
    <row r="47" spans="2:4" ht="15" thickBot="1" x14ac:dyDescent="0.4">
      <c r="B47" s="1" t="s">
        <v>1174</v>
      </c>
      <c r="C47" t="str">
        <f t="shared" si="0"/>
        <v>Ford Ranger 2.0 SiT Single Cab XL</v>
      </c>
      <c r="D47">
        <f t="shared" si="1"/>
        <v>464200</v>
      </c>
    </row>
    <row r="48" spans="2:4" ht="15" thickBot="1" x14ac:dyDescent="0.4">
      <c r="B48" s="1" t="s">
        <v>1175</v>
      </c>
      <c r="C48" t="str">
        <f t="shared" si="0"/>
        <v>Nissan Navara 2.5DDTi Single Cab SE</v>
      </c>
      <c r="D48">
        <f t="shared" si="1"/>
        <v>466700</v>
      </c>
    </row>
    <row r="49" spans="2:4" ht="15" thickBot="1" x14ac:dyDescent="0.4">
      <c r="B49" s="1" t="s">
        <v>1176</v>
      </c>
      <c r="C49" t="str">
        <f t="shared" si="0"/>
        <v>Toyota Hilux 2.4GD-6 Single Cab SR</v>
      </c>
      <c r="D49">
        <f t="shared" si="1"/>
        <v>469200</v>
      </c>
    </row>
    <row r="50" spans="2:4" ht="15" thickBot="1" x14ac:dyDescent="0.4">
      <c r="B50" s="1" t="s">
        <v>1177</v>
      </c>
      <c r="C50" t="str">
        <f t="shared" si="0"/>
        <v>Ford Ranger 2.0 SiT Single Cab XL auto</v>
      </c>
      <c r="D50">
        <f t="shared" si="1"/>
        <v>477800</v>
      </c>
    </row>
    <row r="51" spans="2:4" ht="15" thickBot="1" x14ac:dyDescent="0.4">
      <c r="B51" s="1" t="s">
        <v>1178</v>
      </c>
      <c r="C51" t="str">
        <f t="shared" si="0"/>
        <v>Volkswagen Transporter 2.0TDI 81kW Single Cab</v>
      </c>
      <c r="D51">
        <f t="shared" si="1"/>
        <v>477900</v>
      </c>
    </row>
    <row r="52" spans="2:4" ht="15" thickBot="1" x14ac:dyDescent="0.4">
      <c r="B52" s="1" t="s">
        <v>1179</v>
      </c>
      <c r="C52" t="str">
        <f t="shared" si="0"/>
        <v>GWM P-Series 2.0TD Double Cab SX auto</v>
      </c>
      <c r="D52">
        <f t="shared" si="1"/>
        <v>477950</v>
      </c>
    </row>
    <row r="53" spans="2:4" ht="15" thickBot="1" x14ac:dyDescent="0.4">
      <c r="B53" s="1" t="s">
        <v>1180</v>
      </c>
      <c r="C53" t="str">
        <f t="shared" si="0"/>
        <v>Mahindra Pik Up 2.2CRDe Double Cab 4x4 S10 Karoo</v>
      </c>
      <c r="D53">
        <f t="shared" si="1"/>
        <v>479999</v>
      </c>
    </row>
    <row r="54" spans="2:4" ht="15" thickBot="1" x14ac:dyDescent="0.4">
      <c r="B54" s="1" t="s">
        <v>1181</v>
      </c>
      <c r="C54" t="str">
        <f t="shared" si="0"/>
        <v>Mahindra Pik Up 2.2CRDe Double Cab 4x4 S6 Karoo auto</v>
      </c>
      <c r="D54">
        <f t="shared" si="1"/>
        <v>480999</v>
      </c>
    </row>
    <row r="55" spans="2:4" ht="15" thickBot="1" x14ac:dyDescent="0.4">
      <c r="B55" s="1" t="s">
        <v>1182</v>
      </c>
      <c r="C55" t="str">
        <f t="shared" si="0"/>
        <v>Ford Ranger 2.0 SiT SuperCab XL</v>
      </c>
      <c r="D55">
        <f t="shared" si="1"/>
        <v>485400</v>
      </c>
    </row>
    <row r="56" spans="2:4" ht="15" thickBot="1" x14ac:dyDescent="0.4">
      <c r="B56" s="1" t="s">
        <v>1183</v>
      </c>
      <c r="C56" t="str">
        <f t="shared" si="0"/>
        <v>Ford Ranger 2.0 SiT Double Cab</v>
      </c>
      <c r="D56">
        <f t="shared" si="1"/>
        <v>486000</v>
      </c>
    </row>
    <row r="57" spans="2:4" ht="15" thickBot="1" x14ac:dyDescent="0.4">
      <c r="B57" s="1" t="s">
        <v>1184</v>
      </c>
      <c r="C57" t="str">
        <f t="shared" si="0"/>
        <v>Mahindra Pik Up 2.2CRDe Double Cab S11 Karoo</v>
      </c>
      <c r="D57">
        <f t="shared" si="1"/>
        <v>486999</v>
      </c>
    </row>
    <row r="58" spans="2:4" ht="15" thickBot="1" x14ac:dyDescent="0.4">
      <c r="B58" s="1" t="s">
        <v>1185</v>
      </c>
      <c r="C58" t="str">
        <f t="shared" si="0"/>
        <v>GWM P-Series 2.0TD Double Cab SX 4x4</v>
      </c>
      <c r="D58">
        <f t="shared" si="1"/>
        <v>487950</v>
      </c>
    </row>
    <row r="59" spans="2:4" ht="15" thickBot="1" x14ac:dyDescent="0.4">
      <c r="B59" s="1" t="s">
        <v>1186</v>
      </c>
      <c r="C59" t="str">
        <f t="shared" si="0"/>
        <v>GWM P-Series 2.0TD Single Cab DLX 4x4</v>
      </c>
      <c r="D59">
        <f t="shared" si="1"/>
        <v>489950</v>
      </c>
    </row>
    <row r="60" spans="2:4" ht="15" thickBot="1" x14ac:dyDescent="0.4">
      <c r="B60" s="1" t="s">
        <v>1187</v>
      </c>
      <c r="C60" t="str">
        <f t="shared" si="0"/>
        <v>Toyota Hilux 2.7 Double Cab S</v>
      </c>
      <c r="D60">
        <f t="shared" si="1"/>
        <v>493600</v>
      </c>
    </row>
    <row r="61" spans="2:4" ht="15" thickBot="1" x14ac:dyDescent="0.4">
      <c r="B61" s="1" t="s">
        <v>1188</v>
      </c>
      <c r="C61" t="str">
        <f t="shared" si="0"/>
        <v>Isuzu D-Max 1.9TD Extended cab LS</v>
      </c>
      <c r="D61">
        <f t="shared" si="1"/>
        <v>494000</v>
      </c>
    </row>
    <row r="62" spans="2:4" ht="15" thickBot="1" x14ac:dyDescent="0.4">
      <c r="B62" s="1" t="s">
        <v>1189</v>
      </c>
      <c r="C62" t="str">
        <f t="shared" si="0"/>
        <v>Mahindra Pik Up 2.2CRDe Double Cab 4x4 S11</v>
      </c>
      <c r="D62">
        <f t="shared" si="1"/>
        <v>494999</v>
      </c>
    </row>
    <row r="63" spans="2:4" ht="15" thickBot="1" x14ac:dyDescent="0.4">
      <c r="B63" s="1" t="s">
        <v>1190</v>
      </c>
      <c r="C63" t="str">
        <f t="shared" si="0"/>
        <v>Isuzu D-Max Gen 6 250 Double Cab Hi-Ride</v>
      </c>
      <c r="D63">
        <f t="shared" si="1"/>
        <v>496900</v>
      </c>
    </row>
    <row r="64" spans="2:4" ht="15" thickBot="1" x14ac:dyDescent="0.4">
      <c r="B64" s="1" t="s">
        <v>1191</v>
      </c>
      <c r="C64" t="str">
        <f t="shared" si="0"/>
        <v>JAC T8 2.0CTi Double Cab 4WD Lux</v>
      </c>
      <c r="D64">
        <f t="shared" si="1"/>
        <v>499900</v>
      </c>
    </row>
    <row r="65" spans="2:4" ht="15" thickBot="1" x14ac:dyDescent="0.4">
      <c r="B65" s="1" t="s">
        <v>1192</v>
      </c>
      <c r="C65" t="str">
        <f t="shared" si="0"/>
        <v>Nissan Navara 2.5DDTi Single Cab LE</v>
      </c>
      <c r="D65">
        <f t="shared" si="1"/>
        <v>504900</v>
      </c>
    </row>
    <row r="66" spans="2:4" ht="15" thickBot="1" x14ac:dyDescent="0.4">
      <c r="B66" s="1" t="s">
        <v>1193</v>
      </c>
      <c r="C66" t="str">
        <f t="shared" si="0"/>
        <v>GWM P-Series 2.0TD Double Cab DLX auto</v>
      </c>
      <c r="D66">
        <f t="shared" si="1"/>
        <v>504950</v>
      </c>
    </row>
    <row r="67" spans="2:4" ht="15" thickBot="1" x14ac:dyDescent="0.4">
      <c r="B67" s="1" t="s">
        <v>1194</v>
      </c>
      <c r="C67" t="str">
        <f t="shared" ref="C67:C130" si="2">TRIM(LEFT(B67, FIND("©",SUBSTITUTE(B67,"R","©",LEN(B67)-LEN(SUBSTITUTE(B67,"R",""))))-1))</f>
        <v>Mitsubishi Triton 2.4DI-D Double Cab GL</v>
      </c>
      <c r="D67">
        <f t="shared" ref="D67:D130" si="3">--SUBSTITUTE(TRIM(RIGHT(B67, LEN(B67) - FIND("©",SUBSTITUTE(B67,"R","©",LEN(B67)-LEN(SUBSTITUTE(B67,"R","")))))), " ", "")</f>
        <v>504990</v>
      </c>
    </row>
    <row r="68" spans="2:4" ht="15" thickBot="1" x14ac:dyDescent="0.4">
      <c r="B68" s="1" t="s">
        <v>1195</v>
      </c>
      <c r="C68" t="str">
        <f t="shared" si="2"/>
        <v>Toyota Hilux 2.4GD-6 Single Cab Raider</v>
      </c>
      <c r="D68">
        <f t="shared" si="3"/>
        <v>506900</v>
      </c>
    </row>
    <row r="69" spans="2:4" ht="15" thickBot="1" x14ac:dyDescent="0.4">
      <c r="B69" s="1" t="s">
        <v>1196</v>
      </c>
      <c r="C69" t="str">
        <f t="shared" si="2"/>
        <v>Isuzu D-Max 1.9TD Double Cab L</v>
      </c>
      <c r="D69">
        <f t="shared" si="3"/>
        <v>511400</v>
      </c>
    </row>
    <row r="70" spans="2:4" ht="15" thickBot="1" x14ac:dyDescent="0.4">
      <c r="B70" s="1" t="s">
        <v>1197</v>
      </c>
      <c r="C70" t="str">
        <f t="shared" si="2"/>
        <v>Isuzu D-Max 1.9TD Extended cab LS auto</v>
      </c>
      <c r="D70">
        <f t="shared" si="3"/>
        <v>513700</v>
      </c>
    </row>
    <row r="71" spans="2:4" ht="15" thickBot="1" x14ac:dyDescent="0.4">
      <c r="B71" s="1" t="s">
        <v>1198</v>
      </c>
      <c r="C71" t="str">
        <f t="shared" si="2"/>
        <v>Nissan Navara 2.5DDTi Double Cab SE</v>
      </c>
      <c r="D71">
        <f t="shared" si="3"/>
        <v>514500</v>
      </c>
    </row>
    <row r="72" spans="2:4" ht="15" thickBot="1" x14ac:dyDescent="0.4">
      <c r="B72" s="1" t="s">
        <v>1199</v>
      </c>
      <c r="C72" t="str">
        <f t="shared" si="2"/>
        <v>GWM P-Series 2.0TD Double Cab DLX 4x4</v>
      </c>
      <c r="D72">
        <f t="shared" si="3"/>
        <v>514950</v>
      </c>
    </row>
    <row r="73" spans="2:4" ht="15" thickBot="1" x14ac:dyDescent="0.4">
      <c r="B73" s="1" t="s">
        <v>1200</v>
      </c>
      <c r="C73" t="str">
        <f t="shared" si="2"/>
        <v>GWM P-Series 2.0TD Double Cab LS</v>
      </c>
      <c r="D73">
        <f t="shared" si="3"/>
        <v>515950</v>
      </c>
    </row>
    <row r="74" spans="2:4" ht="15" thickBot="1" x14ac:dyDescent="0.4">
      <c r="B74" s="1" t="s">
        <v>1201</v>
      </c>
      <c r="C74" t="str">
        <f t="shared" si="2"/>
        <v>Isuzu D-Max Gen 6 250 Double Cab Hi-Ride auto</v>
      </c>
      <c r="D74">
        <f t="shared" si="3"/>
        <v>517700</v>
      </c>
    </row>
    <row r="75" spans="2:4" ht="15" thickBot="1" x14ac:dyDescent="0.4">
      <c r="B75" s="1" t="s">
        <v>1202</v>
      </c>
      <c r="C75" t="str">
        <f t="shared" si="2"/>
        <v>Toyota Hilux 2.4GD-6 Xtra Cab Raider</v>
      </c>
      <c r="D75">
        <f t="shared" si="3"/>
        <v>521500</v>
      </c>
    </row>
    <row r="76" spans="2:4" ht="15" thickBot="1" x14ac:dyDescent="0.4">
      <c r="B76" s="1" t="s">
        <v>1203</v>
      </c>
      <c r="C76" t="str">
        <f t="shared" si="2"/>
        <v>Isuzu D-Max 1.9TD Single Cab L 4x4</v>
      </c>
      <c r="D76">
        <f t="shared" si="3"/>
        <v>523900</v>
      </c>
    </row>
    <row r="77" spans="2:4" ht="15" thickBot="1" x14ac:dyDescent="0.4">
      <c r="B77" s="1" t="s">
        <v>1204</v>
      </c>
      <c r="C77" t="str">
        <f t="shared" si="2"/>
        <v>GWM P-Series 2.0TD Double Cab SX 4x4 auto</v>
      </c>
      <c r="D77">
        <f t="shared" si="3"/>
        <v>524950</v>
      </c>
    </row>
    <row r="78" spans="2:4" ht="15" thickBot="1" x14ac:dyDescent="0.4">
      <c r="B78" s="1" t="s">
        <v>1205</v>
      </c>
      <c r="C78" t="str">
        <f t="shared" si="2"/>
        <v>Mahindra Pik Up 2.2CRDe Double Cab 4x4 S11 Karoo</v>
      </c>
      <c r="D78">
        <f t="shared" si="3"/>
        <v>525999</v>
      </c>
    </row>
    <row r="79" spans="2:4" ht="15" thickBot="1" x14ac:dyDescent="0.4">
      <c r="B79" s="1" t="s">
        <v>1206</v>
      </c>
      <c r="C79" t="str">
        <f t="shared" si="2"/>
        <v>Toyota Hilux 2.4GD-6 Single Cab Raider auto</v>
      </c>
      <c r="D79">
        <f t="shared" si="3"/>
        <v>527600</v>
      </c>
    </row>
    <row r="80" spans="2:4" ht="15" thickBot="1" x14ac:dyDescent="0.4">
      <c r="B80" s="1" t="s">
        <v>1207</v>
      </c>
      <c r="C80" t="str">
        <f t="shared" si="2"/>
        <v>Ford Ranger 2.0 SiT Double Cab 4x4</v>
      </c>
      <c r="D80">
        <f t="shared" si="3"/>
        <v>528600</v>
      </c>
    </row>
    <row r="81" spans="2:4" ht="15" thickBot="1" x14ac:dyDescent="0.4">
      <c r="B81" s="1" t="s">
        <v>1208</v>
      </c>
      <c r="C81" t="str">
        <f t="shared" si="2"/>
        <v>Ford Ranger 2.0 SiT Double Cab XL</v>
      </c>
      <c r="D81">
        <f t="shared" si="3"/>
        <v>529900</v>
      </c>
    </row>
    <row r="82" spans="2:4" ht="15" thickBot="1" x14ac:dyDescent="0.4">
      <c r="B82" s="1" t="s">
        <v>1209</v>
      </c>
      <c r="C82" t="str">
        <f t="shared" si="2"/>
        <v>Isuzu D-Max 1.9TD Double Cab L auto</v>
      </c>
      <c r="D82">
        <f t="shared" si="3"/>
        <v>530100</v>
      </c>
    </row>
    <row r="83" spans="2:4" ht="15" thickBot="1" x14ac:dyDescent="0.4">
      <c r="B83" s="1" t="s">
        <v>1210</v>
      </c>
      <c r="C83" t="str">
        <f t="shared" si="2"/>
        <v>Ford Ranger 2.0 SiT Single Cab XL 4x4</v>
      </c>
      <c r="D83">
        <f t="shared" si="3"/>
        <v>531300</v>
      </c>
    </row>
    <row r="84" spans="2:4" ht="15" thickBot="1" x14ac:dyDescent="0.4">
      <c r="B84" s="1" t="s">
        <v>1211</v>
      </c>
      <c r="C84" t="str">
        <f t="shared" si="2"/>
        <v>Toyota Hilux 2.4GD-6 Double Cab SR</v>
      </c>
      <c r="D84">
        <f t="shared" si="3"/>
        <v>534400</v>
      </c>
    </row>
    <row r="85" spans="2:4" ht="15" thickBot="1" x14ac:dyDescent="0.4">
      <c r="B85" s="1" t="s">
        <v>1212</v>
      </c>
      <c r="C85" t="str">
        <f t="shared" si="2"/>
        <v>Isuzu D-Max 1.9TD Double Cab LS</v>
      </c>
      <c r="D85">
        <f t="shared" si="3"/>
        <v>538900</v>
      </c>
    </row>
    <row r="86" spans="2:4" ht="15" thickBot="1" x14ac:dyDescent="0.4">
      <c r="B86" s="1" t="s">
        <v>1213</v>
      </c>
      <c r="C86" t="str">
        <f t="shared" si="2"/>
        <v>Toyota Hilux 2.4GD-6 Single Cab 4x4 SR</v>
      </c>
      <c r="D86">
        <f t="shared" si="3"/>
        <v>540000</v>
      </c>
    </row>
    <row r="87" spans="2:4" ht="15" thickBot="1" x14ac:dyDescent="0.4">
      <c r="B87" s="1" t="s">
        <v>1214</v>
      </c>
      <c r="C87" t="str">
        <f t="shared" si="2"/>
        <v>Nissan Navara 2.5DDTi Single Cab SE 4x4</v>
      </c>
      <c r="D87">
        <f t="shared" si="3"/>
        <v>541200</v>
      </c>
    </row>
    <row r="88" spans="2:4" ht="15" thickBot="1" x14ac:dyDescent="0.4">
      <c r="B88" s="1" t="s">
        <v>1215</v>
      </c>
      <c r="C88" t="str">
        <f t="shared" si="2"/>
        <v>Toyota Hilux 2.4GD-6 Xtra Cab Raider auto</v>
      </c>
      <c r="D88">
        <f t="shared" si="3"/>
        <v>542100</v>
      </c>
    </row>
    <row r="89" spans="2:4" ht="15" thickBot="1" x14ac:dyDescent="0.4">
      <c r="B89" s="1" t="s">
        <v>1216</v>
      </c>
      <c r="C89" t="str">
        <f t="shared" si="2"/>
        <v>Nissan Navara 2.5DDTi Double Cab SE auto</v>
      </c>
      <c r="D89">
        <f t="shared" si="3"/>
        <v>542900</v>
      </c>
    </row>
    <row r="90" spans="2:4" ht="15" thickBot="1" x14ac:dyDescent="0.4">
      <c r="B90" s="1" t="s">
        <v>1217</v>
      </c>
      <c r="C90" t="str">
        <f t="shared" si="2"/>
        <v>Ford Ranger 2.0 SiT Double Cab XL auto</v>
      </c>
      <c r="D90">
        <f t="shared" si="3"/>
        <v>544400</v>
      </c>
    </row>
    <row r="91" spans="2:4" ht="15" thickBot="1" x14ac:dyDescent="0.4">
      <c r="B91" s="1" t="s">
        <v>1218</v>
      </c>
      <c r="C91" t="str">
        <f t="shared" si="2"/>
        <v>Ford Ranger 2.0 SiT Single Cab XL 4x4 auto</v>
      </c>
      <c r="D91">
        <f t="shared" si="3"/>
        <v>545000</v>
      </c>
    </row>
    <row r="92" spans="2:4" ht="15" thickBot="1" x14ac:dyDescent="0.4">
      <c r="B92" s="1" t="s">
        <v>1219</v>
      </c>
      <c r="C92" t="str">
        <f t="shared" si="2"/>
        <v>Ford Ranger 2.0 SiT SuperCab XLT</v>
      </c>
      <c r="D92">
        <f t="shared" si="3"/>
        <v>547100</v>
      </c>
    </row>
    <row r="93" spans="2:4" ht="15" thickBot="1" x14ac:dyDescent="0.4">
      <c r="B93" s="1" t="s">
        <v>1220</v>
      </c>
      <c r="C93" t="str">
        <f t="shared" si="2"/>
        <v>GWM P-Series 2.0TD Double Cab DLX 4x4 auto</v>
      </c>
      <c r="D93">
        <f t="shared" si="3"/>
        <v>551950</v>
      </c>
    </row>
    <row r="94" spans="2:4" ht="15" thickBot="1" x14ac:dyDescent="0.4">
      <c r="B94" s="1" t="s">
        <v>1221</v>
      </c>
      <c r="C94" t="str">
        <f t="shared" si="2"/>
        <v>Isuzu D-Max 1.9TD Double Cab LS auto</v>
      </c>
      <c r="D94">
        <f t="shared" si="3"/>
        <v>556000</v>
      </c>
    </row>
    <row r="95" spans="2:4" ht="15" thickBot="1" x14ac:dyDescent="0.4">
      <c r="B95" s="1" t="s">
        <v>1222</v>
      </c>
      <c r="C95" t="str">
        <f t="shared" si="2"/>
        <v>Nissan Navara 2.5DDTi Double Cab SE Plus</v>
      </c>
      <c r="D95">
        <f t="shared" si="3"/>
        <v>556500</v>
      </c>
    </row>
    <row r="96" spans="2:4" ht="15" thickBot="1" x14ac:dyDescent="0.4">
      <c r="B96" s="1" t="s">
        <v>1223</v>
      </c>
      <c r="C96" t="str">
        <f t="shared" si="2"/>
        <v>Volkswagen Transporter 2.0TDI 81kW Double Cab</v>
      </c>
      <c r="D96">
        <f t="shared" si="3"/>
        <v>562300</v>
      </c>
    </row>
    <row r="97" spans="2:4" ht="15" thickBot="1" x14ac:dyDescent="0.4">
      <c r="B97" s="1" t="s">
        <v>1224</v>
      </c>
      <c r="C97" t="str">
        <f t="shared" si="2"/>
        <v>GWM P-Series 2.0TD Double Cab LS 4x4</v>
      </c>
      <c r="D97">
        <f t="shared" si="3"/>
        <v>565950</v>
      </c>
    </row>
    <row r="98" spans="2:4" ht="15" thickBot="1" x14ac:dyDescent="0.4">
      <c r="B98" s="1" t="s">
        <v>1225</v>
      </c>
      <c r="C98" t="str">
        <f t="shared" si="2"/>
        <v>Toyota Hilux 2.4GD-6 Double Cab Raider</v>
      </c>
      <c r="D98">
        <f t="shared" si="3"/>
        <v>567600</v>
      </c>
    </row>
    <row r="99" spans="2:4" ht="15" thickBot="1" x14ac:dyDescent="0.4">
      <c r="B99" s="1" t="s">
        <v>1226</v>
      </c>
      <c r="C99" t="str">
        <f t="shared" si="2"/>
        <v>Nissan Navara 2.5DDTi Double Cab SE Plus auto</v>
      </c>
      <c r="D99">
        <f t="shared" si="3"/>
        <v>578900</v>
      </c>
    </row>
    <row r="100" spans="2:4" ht="15" thickBot="1" x14ac:dyDescent="0.4">
      <c r="B100" s="1" t="s">
        <v>1227</v>
      </c>
      <c r="C100" t="str">
        <f t="shared" si="2"/>
        <v>Nissan Navara 2.5DDTi Single Cab LE 4x4</v>
      </c>
      <c r="D100">
        <f t="shared" si="3"/>
        <v>582900</v>
      </c>
    </row>
    <row r="101" spans="2:4" ht="15" thickBot="1" x14ac:dyDescent="0.4">
      <c r="B101" s="1" t="s">
        <v>1228</v>
      </c>
      <c r="C101" t="str">
        <f t="shared" si="2"/>
        <v>Toyota Hilux 2.4GD-6 Single Cab 4x4 Raider</v>
      </c>
      <c r="D101">
        <f t="shared" si="3"/>
        <v>583200</v>
      </c>
    </row>
    <row r="102" spans="2:4" ht="15" thickBot="1" x14ac:dyDescent="0.4">
      <c r="B102" s="1" t="s">
        <v>1229</v>
      </c>
      <c r="C102" t="str">
        <f t="shared" si="2"/>
        <v>Toyota Hilux 2.4GD-6 Double Cab Raider auto</v>
      </c>
      <c r="D102">
        <f t="shared" si="3"/>
        <v>585500</v>
      </c>
    </row>
    <row r="103" spans="2:4" ht="15" thickBot="1" x14ac:dyDescent="0.4">
      <c r="B103" s="1" t="s">
        <v>1230</v>
      </c>
      <c r="C103" t="str">
        <f t="shared" si="2"/>
        <v>GWM P-Series 2.0TD Double Cab LT</v>
      </c>
      <c r="D103">
        <f t="shared" si="3"/>
        <v>589950</v>
      </c>
    </row>
    <row r="104" spans="2:4" ht="15" thickBot="1" x14ac:dyDescent="0.4">
      <c r="B104" s="1" t="s">
        <v>1231</v>
      </c>
      <c r="C104" t="str">
        <f t="shared" si="2"/>
        <v>Ford Ranger 2.0 SiT Double Cab XLT</v>
      </c>
      <c r="D104">
        <f t="shared" si="3"/>
        <v>592700</v>
      </c>
    </row>
    <row r="105" spans="2:4" ht="15" thickBot="1" x14ac:dyDescent="0.4">
      <c r="B105" s="1" t="s">
        <v>1232</v>
      </c>
      <c r="C105" t="str">
        <f t="shared" si="2"/>
        <v>Isuzu D-Max 1.9TD Double Cab L 4x4</v>
      </c>
      <c r="D105">
        <f t="shared" si="3"/>
        <v>595300</v>
      </c>
    </row>
    <row r="106" spans="2:4" ht="15" thickBot="1" x14ac:dyDescent="0.4">
      <c r="B106" s="1" t="s">
        <v>1233</v>
      </c>
      <c r="C106" t="str">
        <f t="shared" si="2"/>
        <v>Peugeot Landtrek 1.9TD Double Cab Allure</v>
      </c>
      <c r="D106">
        <f t="shared" si="3"/>
        <v>599900</v>
      </c>
    </row>
    <row r="107" spans="2:4" ht="15" thickBot="1" x14ac:dyDescent="0.4">
      <c r="B107" s="1" t="s">
        <v>1234</v>
      </c>
      <c r="C107" t="str">
        <f t="shared" si="2"/>
        <v>Mitsubishi Triton 2.4DI-D Double Cab</v>
      </c>
      <c r="D107">
        <f t="shared" si="3"/>
        <v>599990</v>
      </c>
    </row>
    <row r="108" spans="2:4" ht="15" thickBot="1" x14ac:dyDescent="0.4">
      <c r="B108" s="1" t="s">
        <v>1235</v>
      </c>
      <c r="C108" t="str">
        <f t="shared" si="2"/>
        <v>Nissan Navara 2.5DDTi Double Cab SE 4x4</v>
      </c>
      <c r="D108">
        <f t="shared" si="3"/>
        <v>601900</v>
      </c>
    </row>
    <row r="109" spans="2:4" ht="15" thickBot="1" x14ac:dyDescent="0.4">
      <c r="B109" s="1" t="s">
        <v>1236</v>
      </c>
      <c r="C109" t="str">
        <f t="shared" si="2"/>
        <v>Toyota Hilux 2.8GD-6 Single Cab Raider auto</v>
      </c>
      <c r="D109">
        <f t="shared" si="3"/>
        <v>602400</v>
      </c>
    </row>
    <row r="110" spans="2:4" ht="15" thickBot="1" x14ac:dyDescent="0.4">
      <c r="B110" s="1" t="s">
        <v>1237</v>
      </c>
      <c r="C110" t="str">
        <f t="shared" si="2"/>
        <v>Toyota Hilux 2.4GD-6 Single Cab 4x4 Raider auto</v>
      </c>
      <c r="D110">
        <f t="shared" si="3"/>
        <v>605700</v>
      </c>
    </row>
    <row r="111" spans="2:4" ht="15" thickBot="1" x14ac:dyDescent="0.4">
      <c r="B111" s="1" t="s">
        <v>1238</v>
      </c>
      <c r="C111" t="str">
        <f t="shared" si="2"/>
        <v>Ford Ranger 2.0 SiT Double Cab XL 4x4</v>
      </c>
      <c r="D111">
        <f t="shared" si="3"/>
        <v>607300</v>
      </c>
    </row>
    <row r="112" spans="2:4" ht="15" thickBot="1" x14ac:dyDescent="0.4">
      <c r="B112" s="1" t="s">
        <v>1239</v>
      </c>
      <c r="C112" t="str">
        <f t="shared" si="2"/>
        <v>Isuzu D-Max 3.0TD Extended cab LSE</v>
      </c>
      <c r="D112">
        <f t="shared" si="3"/>
        <v>610000</v>
      </c>
    </row>
    <row r="113" spans="2:4" ht="15" thickBot="1" x14ac:dyDescent="0.4">
      <c r="B113" s="1" t="s">
        <v>1240</v>
      </c>
      <c r="C113" t="str">
        <f t="shared" si="2"/>
        <v>Toyota Hilux 2.8GD-6 Xtra Cab Legend</v>
      </c>
      <c r="D113">
        <f t="shared" si="3"/>
        <v>611000</v>
      </c>
    </row>
    <row r="114" spans="2:4" ht="15" thickBot="1" x14ac:dyDescent="0.4">
      <c r="B114" s="1" t="s">
        <v>1241</v>
      </c>
      <c r="C114" t="str">
        <f t="shared" si="2"/>
        <v>Toyota Hilux 2.4GD-6 Double Cab 4x4 SR</v>
      </c>
      <c r="D114">
        <f t="shared" si="3"/>
        <v>615300</v>
      </c>
    </row>
    <row r="115" spans="2:4" ht="15" thickBot="1" x14ac:dyDescent="0.4">
      <c r="B115" s="1" t="s">
        <v>1242</v>
      </c>
      <c r="C115" t="str">
        <f t="shared" si="2"/>
        <v>Mitsubishi Triton 2.4DI-D Double Cab auto</v>
      </c>
      <c r="D115">
        <f t="shared" si="3"/>
        <v>619990</v>
      </c>
    </row>
    <row r="116" spans="2:4" ht="15" thickBot="1" x14ac:dyDescent="0.4">
      <c r="B116" s="1" t="s">
        <v>1243</v>
      </c>
      <c r="C116" t="str">
        <f t="shared" si="2"/>
        <v>Ford Ranger 2.0 SiT Double Cab XL 4x4 auto</v>
      </c>
      <c r="D116">
        <f t="shared" si="3"/>
        <v>621900</v>
      </c>
    </row>
    <row r="117" spans="2:4" ht="15" thickBot="1" x14ac:dyDescent="0.4">
      <c r="B117" s="1" t="s">
        <v>1244</v>
      </c>
      <c r="C117" t="str">
        <f t="shared" si="2"/>
        <v>Mahindra Pik Up 2.2CRDe Double Cab 4x4 S11 Karoo Dusk</v>
      </c>
      <c r="D117">
        <f t="shared" si="3"/>
        <v>624999</v>
      </c>
    </row>
    <row r="118" spans="2:4" ht="15" thickBot="1" x14ac:dyDescent="0.4">
      <c r="B118" s="1" t="s">
        <v>1245</v>
      </c>
      <c r="C118" t="str">
        <f t="shared" si="2"/>
        <v>Mazda BT-50 1.9TD Double Cab Active</v>
      </c>
      <c r="D118">
        <f t="shared" si="3"/>
        <v>630400</v>
      </c>
    </row>
    <row r="119" spans="2:4" ht="15" thickBot="1" x14ac:dyDescent="0.4">
      <c r="B119" s="1" t="s">
        <v>1246</v>
      </c>
      <c r="C119" t="str">
        <f t="shared" si="2"/>
        <v>Mahindra Pik Up 2.2CRDe Double Cab 4x4 S11 Karoo Storm</v>
      </c>
      <c r="D119">
        <f t="shared" si="3"/>
        <v>634999</v>
      </c>
    </row>
    <row r="120" spans="2:4" ht="15" thickBot="1" x14ac:dyDescent="0.4">
      <c r="B120" s="1" t="s">
        <v>1247</v>
      </c>
      <c r="C120" t="str">
        <f t="shared" si="2"/>
        <v>Nissan Navara 2.5DDTi Double Cab SE Plus 4x4</v>
      </c>
      <c r="D120">
        <f t="shared" si="3"/>
        <v>636500</v>
      </c>
    </row>
    <row r="121" spans="2:4" ht="15" thickBot="1" x14ac:dyDescent="0.4">
      <c r="B121" s="1" t="s">
        <v>1248</v>
      </c>
      <c r="C121" t="str">
        <f t="shared" si="2"/>
        <v>Toyota Hilux 2.8GD-6 Xtra Cab Legend auto</v>
      </c>
      <c r="D121">
        <f t="shared" si="3"/>
        <v>638800</v>
      </c>
    </row>
    <row r="122" spans="2:4" ht="15" thickBot="1" x14ac:dyDescent="0.4">
      <c r="B122" s="1" t="s">
        <v>1249</v>
      </c>
      <c r="C122" t="str">
        <f t="shared" si="2"/>
        <v>GWM P-Series 2.0TD Double Cab LT 4x4</v>
      </c>
      <c r="D122">
        <f t="shared" si="3"/>
        <v>640950</v>
      </c>
    </row>
    <row r="123" spans="2:4" ht="15" thickBot="1" x14ac:dyDescent="0.4">
      <c r="B123" s="1" t="s">
        <v>1250</v>
      </c>
      <c r="C123" t="str">
        <f t="shared" si="2"/>
        <v>Isuzu D-Max 1.9TD Double Cab LS 4x4</v>
      </c>
      <c r="D123">
        <f t="shared" si="3"/>
        <v>650100</v>
      </c>
    </row>
    <row r="124" spans="2:4" ht="15" thickBot="1" x14ac:dyDescent="0.4">
      <c r="B124" s="1" t="s">
        <v>1251</v>
      </c>
      <c r="C124" t="str">
        <f t="shared" si="2"/>
        <v>Toyota Hilux 2.4GD-6 Double Cab 4x4 Raider</v>
      </c>
      <c r="D124">
        <f t="shared" si="3"/>
        <v>655100</v>
      </c>
    </row>
    <row r="125" spans="2:4" ht="15" thickBot="1" x14ac:dyDescent="0.4">
      <c r="B125" s="1" t="s">
        <v>1252</v>
      </c>
      <c r="C125" t="str">
        <f t="shared" si="2"/>
        <v>Nissan Navara 2.5DDTi Double Cab LE auto</v>
      </c>
      <c r="D125">
        <f t="shared" si="3"/>
        <v>661500</v>
      </c>
    </row>
    <row r="126" spans="2:4" ht="15" thickBot="1" x14ac:dyDescent="0.4">
      <c r="B126" s="1" t="s">
        <v>1253</v>
      </c>
      <c r="C126" t="str">
        <f t="shared" si="2"/>
        <v>Mazda BT-50 1.9TD Double Cab Active auto</v>
      </c>
      <c r="D126">
        <f t="shared" si="3"/>
        <v>667500</v>
      </c>
    </row>
    <row r="127" spans="2:4" ht="15" thickBot="1" x14ac:dyDescent="0.4">
      <c r="B127" s="1" t="s">
        <v>1254</v>
      </c>
      <c r="C127" t="str">
        <f t="shared" si="2"/>
        <v>Ford Ranger 2.0 SiT Double Cab XLT 4x4</v>
      </c>
      <c r="D127">
        <f t="shared" si="3"/>
        <v>669800</v>
      </c>
    </row>
    <row r="128" spans="2:4" ht="15" thickBot="1" x14ac:dyDescent="0.4">
      <c r="B128" s="1" t="s">
        <v>1255</v>
      </c>
      <c r="C128" t="str">
        <f t="shared" si="2"/>
        <v>Toyota Hilux 2.8GD-6 Single Cab 4x4 Raider auto</v>
      </c>
      <c r="D128">
        <f t="shared" si="3"/>
        <v>675000</v>
      </c>
    </row>
    <row r="129" spans="2:4" ht="15" thickBot="1" x14ac:dyDescent="0.4">
      <c r="B129" s="1" t="s">
        <v>1256</v>
      </c>
      <c r="C129" t="str">
        <f t="shared" si="2"/>
        <v>Mitsubishi Triton 2.4DI-D Double Cab 4x4</v>
      </c>
      <c r="D129">
        <f t="shared" si="3"/>
        <v>679990</v>
      </c>
    </row>
    <row r="130" spans="2:4" ht="15" thickBot="1" x14ac:dyDescent="0.4">
      <c r="B130" s="1" t="s">
        <v>1257</v>
      </c>
      <c r="C130" t="str">
        <f t="shared" si="2"/>
        <v>Toyota Hilux 2.4GD-6 Double Cab 4x4 Raider auto</v>
      </c>
      <c r="D130">
        <f t="shared" si="3"/>
        <v>683800</v>
      </c>
    </row>
    <row r="131" spans="2:4" ht="15" thickBot="1" x14ac:dyDescent="0.4">
      <c r="B131" s="1" t="s">
        <v>1258</v>
      </c>
      <c r="C131" t="str">
        <f t="shared" ref="C131:C182" si="4">TRIM(LEFT(B131, FIND("©",SUBSTITUTE(B131,"R","©",LEN(B131)-LEN(SUBSTITUTE(B131,"R",""))))-1))</f>
        <v>Isuzu D-Max 3.0TD Extended cab LSE 4x4</v>
      </c>
      <c r="D131">
        <f t="shared" ref="D131:D182" si="5">--SUBSTITUTE(TRIM(RIGHT(B131, LEN(B131) - FIND("©",SUBSTITUTE(B131,"R","©",LEN(B131)-LEN(SUBSTITUTE(B131,"R","")))))), " ", "")</f>
        <v>687100</v>
      </c>
    </row>
    <row r="132" spans="2:4" ht="15" thickBot="1" x14ac:dyDescent="0.4">
      <c r="B132" s="1" t="s">
        <v>1259</v>
      </c>
      <c r="C132" t="str">
        <f t="shared" si="4"/>
        <v>Ford Ranger 2.0 BiTurbo SuperCab XLT 4x4</v>
      </c>
      <c r="D132">
        <f t="shared" si="5"/>
        <v>688900</v>
      </c>
    </row>
    <row r="133" spans="2:4" ht="15" thickBot="1" x14ac:dyDescent="0.4">
      <c r="B133" s="1" t="s">
        <v>1260</v>
      </c>
      <c r="C133" t="str">
        <f t="shared" si="4"/>
        <v>Mitsubishi Triton 2.4DI-D Double Cab Xtreme</v>
      </c>
      <c r="D133">
        <f t="shared" si="5"/>
        <v>688990</v>
      </c>
    </row>
    <row r="134" spans="2:4" ht="15" thickBot="1" x14ac:dyDescent="0.4">
      <c r="B134" s="1" t="s">
        <v>1261</v>
      </c>
      <c r="C134" t="str">
        <f t="shared" si="4"/>
        <v>Peugeot Landtrek 1.9TD 4Action Double Cab 4x4</v>
      </c>
      <c r="D134">
        <f t="shared" si="5"/>
        <v>689900</v>
      </c>
    </row>
    <row r="135" spans="2:4" ht="15" thickBot="1" x14ac:dyDescent="0.4">
      <c r="B135" s="1" t="s">
        <v>1262</v>
      </c>
      <c r="C135" t="str">
        <f t="shared" si="4"/>
        <v>Toyota Hilux 2.8GD-6 Xtra Cab 4x4 Legend</v>
      </c>
      <c r="D135">
        <f t="shared" si="5"/>
        <v>691100</v>
      </c>
    </row>
    <row r="136" spans="2:4" ht="15" thickBot="1" x14ac:dyDescent="0.4">
      <c r="B136" s="1" t="s">
        <v>1263</v>
      </c>
      <c r="C136" t="str">
        <f t="shared" si="4"/>
        <v>Isuzu D-Max 3.0TD Double Cab LS 4x4</v>
      </c>
      <c r="D136">
        <f t="shared" si="5"/>
        <v>696400</v>
      </c>
    </row>
    <row r="137" spans="2:4" ht="15" thickBot="1" x14ac:dyDescent="0.4">
      <c r="B137" s="1" t="s">
        <v>1264</v>
      </c>
      <c r="C137" t="str">
        <f t="shared" si="4"/>
        <v>Mitsubishi Triton 2.4DI-D Double Cab 4x4 auto</v>
      </c>
      <c r="D137">
        <f t="shared" si="5"/>
        <v>699990</v>
      </c>
    </row>
    <row r="138" spans="2:4" ht="15" thickBot="1" x14ac:dyDescent="0.4">
      <c r="B138" s="1" t="s">
        <v>1265</v>
      </c>
      <c r="C138" t="str">
        <f t="shared" si="4"/>
        <v>Ford Ranger 2.0 BiTurbo Double Cab XLT</v>
      </c>
      <c r="D138">
        <f t="shared" si="5"/>
        <v>702300</v>
      </c>
    </row>
    <row r="139" spans="2:4" ht="15" thickBot="1" x14ac:dyDescent="0.4">
      <c r="B139" s="1" t="s">
        <v>1266</v>
      </c>
      <c r="C139" t="str">
        <f t="shared" si="4"/>
        <v>Toyota Land Cruiser 79 4.0 V6 Single Cab</v>
      </c>
      <c r="D139">
        <f t="shared" si="5"/>
        <v>706200</v>
      </c>
    </row>
    <row r="140" spans="2:4" ht="15" thickBot="1" x14ac:dyDescent="0.4">
      <c r="B140" s="1" t="s">
        <v>1267</v>
      </c>
      <c r="C140" t="str">
        <f t="shared" si="4"/>
        <v>Toyota Hilux 2.8GD-6 Double Cab Raider auto</v>
      </c>
      <c r="D140">
        <f t="shared" si="5"/>
        <v>709000</v>
      </c>
    </row>
    <row r="141" spans="2:4" ht="15" thickBot="1" x14ac:dyDescent="0.4">
      <c r="B141" s="1" t="s">
        <v>1268</v>
      </c>
      <c r="C141" t="str">
        <f t="shared" si="4"/>
        <v>Volkswagen Transporter 2.0BiTDI 146kW Double Cab 4Motion</v>
      </c>
      <c r="D141">
        <f t="shared" si="5"/>
        <v>713000</v>
      </c>
    </row>
    <row r="142" spans="2:4" ht="15" thickBot="1" x14ac:dyDescent="0.4">
      <c r="B142" s="1" t="s">
        <v>1269</v>
      </c>
      <c r="C142" t="str">
        <f t="shared" si="4"/>
        <v>Isuzu D-Max 3.0TD Double Cab LS 4x4 auto</v>
      </c>
      <c r="D142">
        <f t="shared" si="5"/>
        <v>714700</v>
      </c>
    </row>
    <row r="143" spans="2:4" ht="15" thickBot="1" x14ac:dyDescent="0.4">
      <c r="B143" s="1" t="s">
        <v>1270</v>
      </c>
      <c r="C143" t="str">
        <f t="shared" si="4"/>
        <v>Toyota Hilux 2.8GD-6 Xtra Cab 4x4 Legend auto</v>
      </c>
      <c r="D143">
        <f t="shared" si="5"/>
        <v>719400</v>
      </c>
    </row>
    <row r="144" spans="2:4" ht="15" thickBot="1" x14ac:dyDescent="0.4">
      <c r="B144" s="1" t="s">
        <v>1271</v>
      </c>
      <c r="C144" t="str">
        <f t="shared" si="4"/>
        <v>Nissan Navara 2.5DDTi Double Cab LE 4x4</v>
      </c>
      <c r="D144">
        <f t="shared" si="5"/>
        <v>722900</v>
      </c>
    </row>
    <row r="145" spans="2:4" ht="15" thickBot="1" x14ac:dyDescent="0.4">
      <c r="B145" s="1" t="s">
        <v>1272</v>
      </c>
      <c r="C145" t="str">
        <f t="shared" si="4"/>
        <v>Isuzu D-Max 3.0TD Double Cab LSE</v>
      </c>
      <c r="D145">
        <f t="shared" si="5"/>
        <v>734400</v>
      </c>
    </row>
    <row r="146" spans="2:4" ht="15" thickBot="1" x14ac:dyDescent="0.4">
      <c r="B146" s="1" t="s">
        <v>1273</v>
      </c>
      <c r="C146" t="str">
        <f t="shared" si="4"/>
        <v>Mitsubishi Triton 2.4DI-D Double Cab 4x4 Heritage</v>
      </c>
      <c r="D146">
        <f t="shared" si="5"/>
        <v>739990</v>
      </c>
    </row>
    <row r="147" spans="2:4" ht="15" thickBot="1" x14ac:dyDescent="0.4">
      <c r="B147" s="1" t="s">
        <v>1274</v>
      </c>
      <c r="C147" t="str">
        <f t="shared" si="4"/>
        <v>Nissan Navara 2.5DDTi Double Cab LE 4x4 auto</v>
      </c>
      <c r="D147">
        <f t="shared" si="5"/>
        <v>740500</v>
      </c>
    </row>
    <row r="148" spans="2:4" ht="15" thickBot="1" x14ac:dyDescent="0.4">
      <c r="B148" s="1" t="s">
        <v>1275</v>
      </c>
      <c r="C148" t="str">
        <f t="shared" si="4"/>
        <v>Toyota Land Cruiser 79 4.2D Single Cab</v>
      </c>
      <c r="D148">
        <f t="shared" si="5"/>
        <v>750900</v>
      </c>
    </row>
    <row r="149" spans="2:4" ht="15" thickBot="1" x14ac:dyDescent="0.4">
      <c r="B149" s="1" t="s">
        <v>1276</v>
      </c>
      <c r="C149" t="str">
        <f t="shared" si="4"/>
        <v>Nissan Navara 2.5DDTi Double Cab PRO-2X</v>
      </c>
      <c r="D149">
        <f t="shared" si="5"/>
        <v>756500</v>
      </c>
    </row>
    <row r="150" spans="2:4" ht="15" thickBot="1" x14ac:dyDescent="0.4">
      <c r="B150" s="1" t="s">
        <v>1277</v>
      </c>
      <c r="C150" t="str">
        <f t="shared" si="4"/>
        <v>Toyota Hilux 2.8GD-6 Double Cab Legend</v>
      </c>
      <c r="D150">
        <f t="shared" si="5"/>
        <v>757200</v>
      </c>
    </row>
    <row r="151" spans="2:4" ht="15" thickBot="1" x14ac:dyDescent="0.4">
      <c r="B151" s="1" t="s">
        <v>1278</v>
      </c>
      <c r="C151" t="str">
        <f t="shared" si="4"/>
        <v>Mitsubishi Triton 2.4DI-D Double Cab 4x4 Xtreme</v>
      </c>
      <c r="D151">
        <f t="shared" si="5"/>
        <v>768990</v>
      </c>
    </row>
    <row r="152" spans="2:4" ht="15" thickBot="1" x14ac:dyDescent="0.4">
      <c r="B152" s="1" t="s">
        <v>1279</v>
      </c>
      <c r="C152" t="str">
        <f t="shared" si="4"/>
        <v>Ford Ranger 2.0 BiTurbo SuperCab Wildtrak 4x4</v>
      </c>
      <c r="D152">
        <f t="shared" si="5"/>
        <v>772800</v>
      </c>
    </row>
    <row r="153" spans="2:4" ht="15" thickBot="1" x14ac:dyDescent="0.4">
      <c r="B153" s="1" t="s">
        <v>1280</v>
      </c>
      <c r="C153" t="str">
        <f t="shared" si="4"/>
        <v>Ford Ranger 2.0 BiTurbo Double Cab Wildtrak</v>
      </c>
      <c r="D153">
        <f t="shared" si="5"/>
        <v>778300</v>
      </c>
    </row>
    <row r="154" spans="2:4" ht="15" thickBot="1" x14ac:dyDescent="0.4">
      <c r="B154" s="1" t="s">
        <v>1281</v>
      </c>
      <c r="C154" t="str">
        <f t="shared" si="4"/>
        <v>Isuzu D-Max 3.0TD Double Cab V-Cross</v>
      </c>
      <c r="D154">
        <f t="shared" si="5"/>
        <v>779200</v>
      </c>
    </row>
    <row r="155" spans="2:4" ht="15" thickBot="1" x14ac:dyDescent="0.4">
      <c r="B155" s="1" t="s">
        <v>1282</v>
      </c>
      <c r="C155" t="str">
        <f t="shared" si="4"/>
        <v>Ford Ranger 2.0 BiTurbo Double Cab XLT 4x4</v>
      </c>
      <c r="D155">
        <f t="shared" si="5"/>
        <v>782100</v>
      </c>
    </row>
    <row r="156" spans="2:4" ht="15" thickBot="1" x14ac:dyDescent="0.4">
      <c r="B156" s="1" t="s">
        <v>1283</v>
      </c>
      <c r="C156" t="str">
        <f t="shared" si="4"/>
        <v>Mazda BT-50 3.0TD Double Cab Dynamic</v>
      </c>
      <c r="D156">
        <f t="shared" si="5"/>
        <v>782400</v>
      </c>
    </row>
    <row r="157" spans="2:4" ht="15" thickBot="1" x14ac:dyDescent="0.4">
      <c r="B157" s="1" t="s">
        <v>1284</v>
      </c>
      <c r="C157" t="str">
        <f t="shared" si="4"/>
        <v>Isuzu D-Max 3.0TD Double Cab LSE 4x4</v>
      </c>
      <c r="D157">
        <f t="shared" si="5"/>
        <v>790400</v>
      </c>
    </row>
    <row r="158" spans="2:4" ht="15" thickBot="1" x14ac:dyDescent="0.4">
      <c r="B158" s="1" t="s">
        <v>1285</v>
      </c>
      <c r="C158" t="str">
        <f t="shared" si="4"/>
        <v>Toyota Hilux 2.8GD-6 Double Cab 4x4 Raider auto</v>
      </c>
      <c r="D158">
        <f t="shared" si="5"/>
        <v>792600</v>
      </c>
    </row>
    <row r="159" spans="2:4" ht="15" thickBot="1" x14ac:dyDescent="0.4">
      <c r="B159" s="1" t="s">
        <v>1286</v>
      </c>
      <c r="C159" t="str">
        <f t="shared" si="4"/>
        <v>Volkswagen Amarok 2.0BiTDI Double Cab Highline 4Motion</v>
      </c>
      <c r="D159">
        <f t="shared" si="5"/>
        <v>794200</v>
      </c>
    </row>
    <row r="160" spans="2:4" ht="15" thickBot="1" x14ac:dyDescent="0.4">
      <c r="B160" s="1" t="s">
        <v>1287</v>
      </c>
      <c r="C160" t="str">
        <f t="shared" si="4"/>
        <v>Volkswagen Amarok 2.0BiTDI Double Cab Highline</v>
      </c>
      <c r="D160">
        <f t="shared" si="5"/>
        <v>799700</v>
      </c>
    </row>
    <row r="161" spans="2:4" ht="15" thickBot="1" x14ac:dyDescent="0.4">
      <c r="B161" s="1" t="s">
        <v>1288</v>
      </c>
      <c r="C161" t="str">
        <f t="shared" si="4"/>
        <v>Toyota Land Cruiser 79 4.0 V6 Double Cab</v>
      </c>
      <c r="D161">
        <f t="shared" si="5"/>
        <v>801000</v>
      </c>
    </row>
    <row r="162" spans="2:4" ht="15" thickBot="1" x14ac:dyDescent="0.4">
      <c r="B162" s="1" t="s">
        <v>1289</v>
      </c>
      <c r="C162" t="str">
        <f t="shared" si="4"/>
        <v>Toyota Hilux 2.8GD-6 Double Cab Legend auto</v>
      </c>
      <c r="D162">
        <f t="shared" si="5"/>
        <v>802300</v>
      </c>
    </row>
    <row r="163" spans="2:4" ht="15" thickBot="1" x14ac:dyDescent="0.4">
      <c r="B163" s="1" t="s">
        <v>1290</v>
      </c>
      <c r="C163" t="str">
        <f t="shared" si="4"/>
        <v>Nissan Navara 2.5DDTi Double Cab PRO-4X 4x4</v>
      </c>
      <c r="D163">
        <f t="shared" si="5"/>
        <v>812900</v>
      </c>
    </row>
    <row r="164" spans="2:4" ht="15" thickBot="1" x14ac:dyDescent="0.4">
      <c r="B164" s="1" t="s">
        <v>1291</v>
      </c>
      <c r="C164" t="str">
        <f t="shared" si="4"/>
        <v>Toyota Hilux 2.8GD-6 Double Cab 4x4 Legend</v>
      </c>
      <c r="D164">
        <f t="shared" si="5"/>
        <v>813900</v>
      </c>
    </row>
    <row r="165" spans="2:4" ht="15" thickBot="1" x14ac:dyDescent="0.4">
      <c r="B165" s="1" t="s">
        <v>1292</v>
      </c>
      <c r="C165" t="str">
        <f t="shared" si="4"/>
        <v>Mazda BT-50 3.0TD Double Cab 4x4 Individual</v>
      </c>
      <c r="D165">
        <f t="shared" si="5"/>
        <v>818400</v>
      </c>
    </row>
    <row r="166" spans="2:4" ht="15" thickBot="1" x14ac:dyDescent="0.4">
      <c r="B166" s="1" t="s">
        <v>1293</v>
      </c>
      <c r="C166" t="str">
        <f t="shared" si="4"/>
        <v>Isuzu D-Max 3.0TD Double Cab V-Cross 4x4</v>
      </c>
      <c r="D166">
        <f t="shared" si="5"/>
        <v>835100</v>
      </c>
    </row>
    <row r="167" spans="2:4" ht="15" thickBot="1" x14ac:dyDescent="0.4">
      <c r="B167" s="1" t="s">
        <v>1294</v>
      </c>
      <c r="C167" t="str">
        <f t="shared" si="4"/>
        <v>Toyota Land Cruiser 79 4.2D Double Cab</v>
      </c>
      <c r="D167">
        <f t="shared" si="5"/>
        <v>839500</v>
      </c>
    </row>
    <row r="168" spans="2:4" ht="15" thickBot="1" x14ac:dyDescent="0.4">
      <c r="B168" s="1" t="s">
        <v>1295</v>
      </c>
      <c r="C168" t="str">
        <f t="shared" si="4"/>
        <v>Toyota Hilux 4.0 V6 Double Cab 4x4 Legend</v>
      </c>
      <c r="D168">
        <f t="shared" si="5"/>
        <v>849200</v>
      </c>
    </row>
    <row r="169" spans="2:4" ht="15" thickBot="1" x14ac:dyDescent="0.4">
      <c r="B169" s="1" t="s">
        <v>1296</v>
      </c>
      <c r="C169" t="str">
        <f t="shared" si="4"/>
        <v>Toyota Hilux 2.8GD-6 Double Cab 4x4 Legend auto</v>
      </c>
      <c r="D169">
        <f t="shared" si="5"/>
        <v>849600</v>
      </c>
    </row>
    <row r="170" spans="2:4" ht="15" thickBot="1" x14ac:dyDescent="0.4">
      <c r="B170" s="1" t="s">
        <v>1297</v>
      </c>
      <c r="C170" t="str">
        <f t="shared" si="4"/>
        <v>Toyota Land Cruiser 79 4.5D-4D Single Cab LX V8</v>
      </c>
      <c r="D170">
        <f t="shared" si="5"/>
        <v>858500</v>
      </c>
    </row>
    <row r="171" spans="2:4" ht="15" thickBot="1" x14ac:dyDescent="0.4">
      <c r="B171" s="1" t="s">
        <v>1298</v>
      </c>
      <c r="C171" t="str">
        <f t="shared" si="4"/>
        <v>Volkswagen Amarok 2.0BiTDI Double Cab Highline 4Motion auto</v>
      </c>
      <c r="D171">
        <f t="shared" si="5"/>
        <v>863900</v>
      </c>
    </row>
    <row r="172" spans="2:4" ht="15" thickBot="1" x14ac:dyDescent="0.4">
      <c r="B172" s="1" t="s">
        <v>1299</v>
      </c>
      <c r="C172" t="str">
        <f t="shared" si="4"/>
        <v>Ford Ranger 2.0 BiTurbo Double Cab Wildtrak 4x4</v>
      </c>
      <c r="D172">
        <f t="shared" si="5"/>
        <v>867700</v>
      </c>
    </row>
    <row r="173" spans="2:4" ht="15" thickBot="1" x14ac:dyDescent="0.4">
      <c r="B173" s="1" t="s">
        <v>1300</v>
      </c>
      <c r="C173" t="str">
        <f t="shared" si="4"/>
        <v>Toyota Hilux 2.8GD-6 Double Cab 4x4 GR-Sport</v>
      </c>
      <c r="D173">
        <f t="shared" si="5"/>
        <v>891400</v>
      </c>
    </row>
    <row r="174" spans="2:4" ht="15" thickBot="1" x14ac:dyDescent="0.4">
      <c r="B174" s="1" t="s">
        <v>1301</v>
      </c>
      <c r="C174" t="str">
        <f t="shared" si="4"/>
        <v>Toyota Hilux 2.8GD-6 Double Cab Legend RS auto</v>
      </c>
      <c r="D174">
        <f t="shared" si="5"/>
        <v>895000</v>
      </c>
    </row>
    <row r="175" spans="2:4" ht="15" thickBot="1" x14ac:dyDescent="0.4">
      <c r="B175" s="1" t="s">
        <v>1302</v>
      </c>
      <c r="C175" t="str">
        <f t="shared" si="4"/>
        <v>Toyota Hilux 2.8GD-6 Double Cab 4x4 Legend RS</v>
      </c>
      <c r="D175">
        <f t="shared" si="5"/>
        <v>909600</v>
      </c>
    </row>
    <row r="176" spans="2:4" ht="15" thickBot="1" x14ac:dyDescent="0.4">
      <c r="B176" s="1" t="s">
        <v>1303</v>
      </c>
      <c r="C176" t="str">
        <f t="shared" si="4"/>
        <v>Toyota Land Cruiser 79 4.5D-4D LX V8 Double Cab</v>
      </c>
      <c r="D176">
        <f t="shared" si="5"/>
        <v>941200</v>
      </c>
    </row>
    <row r="177" spans="2:4" ht="15" thickBot="1" x14ac:dyDescent="0.4">
      <c r="B177" s="1" t="s">
        <v>1304</v>
      </c>
      <c r="C177" t="str">
        <f t="shared" si="4"/>
        <v>Toyota Hilux 2.8GD-6 Double Cab 4x4 Legend RS auto</v>
      </c>
      <c r="D177">
        <f t="shared" si="5"/>
        <v>945400</v>
      </c>
    </row>
    <row r="178" spans="2:4" ht="15" thickBot="1" x14ac:dyDescent="0.4">
      <c r="B178" s="1" t="s">
        <v>1305</v>
      </c>
      <c r="C178" t="str">
        <f t="shared" si="4"/>
        <v>Ford Ranger 3.0 V6 Double Cab Wildtrak 4WD</v>
      </c>
      <c r="D178">
        <f t="shared" si="5"/>
        <v>953500</v>
      </c>
    </row>
    <row r="179" spans="2:4" ht="15" thickBot="1" x14ac:dyDescent="0.4">
      <c r="B179" s="1" t="s">
        <v>1306</v>
      </c>
      <c r="C179" t="str">
        <f t="shared" si="4"/>
        <v>Volkswagen Amarok 3.0 V6 TDI Double Cab Highline 4Motion</v>
      </c>
      <c r="D179">
        <f t="shared" si="5"/>
        <v>1025100</v>
      </c>
    </row>
    <row r="180" spans="2:4" ht="15" thickBot="1" x14ac:dyDescent="0.4">
      <c r="B180" s="1" t="s">
        <v>1307</v>
      </c>
      <c r="C180" t="str">
        <f t="shared" si="4"/>
        <v>Ford Ranger 3.0 V6 EcoBoost Double Cab Raptor 4WD</v>
      </c>
      <c r="D180">
        <f t="shared" si="5"/>
        <v>1094900</v>
      </c>
    </row>
    <row r="181" spans="2:4" ht="15" thickBot="1" x14ac:dyDescent="0.4">
      <c r="B181" s="1" t="s">
        <v>1308</v>
      </c>
      <c r="C181" t="str">
        <f t="shared" si="4"/>
        <v>Volkswagen Amarok 3.0 V6 TDI Double Cab Extreme 4Motion</v>
      </c>
      <c r="D181">
        <f t="shared" si="5"/>
        <v>1118200</v>
      </c>
    </row>
    <row r="182" spans="2:4" ht="15" thickBot="1" x14ac:dyDescent="0.4">
      <c r="B182" s="1" t="s">
        <v>1309</v>
      </c>
      <c r="C182" t="str">
        <f t="shared" si="4"/>
        <v>Jeep Gladiator 3.6 Rubicon Double Cab</v>
      </c>
      <c r="D182">
        <f t="shared" si="5"/>
        <v>1329900</v>
      </c>
    </row>
  </sheetData>
  <hyperlinks>
    <hyperlink ref="B2" r:id="rId1" display="https://www.carmag.co.za/car-price-guide-view/nissan-np200-1-6i-safety-pack/Tmlzc2FuIE5QMjAwIDEuNmkgc2FmZXR5IHBhY2s=/?price=212500" xr:uid="{AC3DADB7-F737-4AF0-8078-6B493727E648}"/>
    <hyperlink ref="B3" r:id="rId2" display="https://www.carmag.co.za/car-price-guide-view/nissan-np200-1-6i-safety-pack-aircon/Tmlzc2FuIE5QMjAwIDEuNmkgc2FmZXR5IHBhY2sgKGFpcmNvbik=/?price=230900" xr:uid="{B2E99C1C-31F2-4193-B732-D61393305E74}"/>
    <hyperlink ref="B4" r:id="rId3" display="https://www.carmag.co.za/car-price-guide-view/gwm-steed-5-2-2mpi-single-cab-workhorse/R1dNIFN0ZWVkIDUgMi4yTVBpIFNpbmdsZSBDYWIgV29ya2hvcnNl/?price=233950" xr:uid="{0EF924AA-3FD8-405E-829A-A69BC5DD8204}"/>
    <hyperlink ref="B5" r:id="rId4" display="https://www.carmag.co.za/car-price-guide-view/mahindra-pik-up-2-2crde-single-cab-s4/TWFoaW5kcmEgUGlrIFVwIDIuMkNSRGUgU2luZ2xlIENhYiBTNA==/?price=263999" xr:uid="{4D32F6BB-664B-44C8-8D29-015F3FB2AAAC}"/>
    <hyperlink ref="B6" r:id="rId5" display="https://www.carmag.co.za/car-price-guide-view/gwm-steed-5-2-0vgt-single-cab-s/R1dNIFN0ZWVkIDUgMi4wVkdUIFNpbmdsZSBDYWIgUw==/?price=299950" xr:uid="{6BB4EDD0-B740-463E-B762-7DEAE6949B4E}"/>
    <hyperlink ref="B7" r:id="rId6" display="https://www.carmag.co.za/car-price-guide-view/mahindra-pik-up-2-2crde-single-cab-4x4-s4/TWFoaW5kcmEgUGlrIFVwIDIuMkNSRGUgU2luZ2xlIENhYiA0eDQgUzQ=/?price=302999" xr:uid="{4721821C-E795-4FCE-9AE2-6B4003DE7428}"/>
    <hyperlink ref="B8" r:id="rId7" display="https://www.carmag.co.za/car-price-guide-view/gwm-steed-5-2-0vgt-single-cab-s-4wd/R1dNIFN0ZWVkIDUgMi4wVkdUIFNpbmdsZSBDYWIgUyA0V0Q=/?price=330950" xr:uid="{A84EAF90-6013-4324-9B3B-2C197875C14E}"/>
    <hyperlink ref="B9" r:id="rId8" display="https://www.carmag.co.za/car-price-guide-view/mahindra-pik-up-2-2crde-single-cab-s6/TWFoaW5kcmEgUGlrIFVwIDIuMkNSRGUgU2luZ2xlIENhYiBTNg==/?price=331999" xr:uid="{149B712D-50B8-4A3B-B58C-BEDDB366BDBF}"/>
    <hyperlink ref="B10" r:id="rId9" display="https://www.carmag.co.za/car-price-guide-view/toyota-hilux-2-0-single-cab-s/VG95b3RhIEhpbHV4IDIuMCBTaW5nbGUgQ2FiIFM=/?price=336100" xr:uid="{DBE79476-BE59-4465-85EB-C8F018EA50DB}"/>
    <hyperlink ref="B11" r:id="rId10" display="https://www.carmag.co.za/car-price-guide-view/isuzu-d-max-gen-6-250c-single-cab/SXN1enUgRC1NYXggR2VuIDYgMjUwYyBTaW5nbGUgQ2Fi/?price=340000" xr:uid="{813E9BBF-FA4A-4E4F-A012-3FA755E6C489}"/>
    <hyperlink ref="B12" r:id="rId11" display="https://www.carmag.co.za/car-price-guide-view/nissan-navara-2-5-single-cab-xe/Tmlzc2FuIE5hdmFyYSAyLjUgU2luZ2xlIENhYiBYRQ==/?price=344900" xr:uid="{8F579E6F-57C4-42EA-98E0-6773020B0FD3}"/>
    <hyperlink ref="B13" r:id="rId12" display="https://www.carmag.co.za/car-price-guide-view/gwm-steed-5-2-0vgt-single-cab-sx-4wd/R1dNIFN0ZWVkIDUgMi4wVkdUIFNpbmdsZSBDYWIgU1ggNFdE/?price=344950" xr:uid="{85A2B3D6-6B57-4D62-8911-C147FBC96A2E}"/>
    <hyperlink ref="B14" r:id="rId13" display="https://www.carmag.co.za/car-price-guide-view/jac-t6-2-0vvt-double-cab-lux/SkFDIFQ2IDIuMFZWVCBEb3VibGUgQ2FiIEx1eA==/?price=354900" xr:uid="{B8215DE9-7FB6-4904-95E3-E3AED63606AF}"/>
    <hyperlink ref="B15" r:id="rId14" display="https://www.carmag.co.za/car-price-guide-view/isuzu-d-max-gen-6-250c-single-cab-fleetside/SXN1enUgRC1NYXggR2VuIDYgMjUwYyBTaW5nbGUgQ2FiIEZsZWV0c2lkZQ==/?price=367500" xr:uid="{7C4497E3-EB17-4258-8F11-2B424C788DD4}"/>
    <hyperlink ref="B16" r:id="rId15" display="https://www.carmag.co.za/car-price-guide-view/jac-t6-2-8tdi-double-cab-lux/SkFDIFQ2IDIuOFREaSBEb3VibGUgQ2FiIEx1eA==/?price=369900" xr:uid="{78B9D1AA-9D56-4266-928A-58536291A97F}"/>
    <hyperlink ref="B17" r:id="rId16" display="https://www.carmag.co.za/car-price-guide-view/mahindra-pik-up-2-2crde-single-cab-4x4-s6/TWFoaW5kcmEgUGlrIFVwIDIuMkNSRGUgU2luZ2xlIENhYiA0eDQgUzY=/?price=370999" xr:uid="{08CDD0CE-EA6B-4144-9F5B-A3807AFDE920}"/>
    <hyperlink ref="B18" r:id="rId17" display="https://www.carmag.co.za/car-price-guide-view/jac-t6-1-9tdi-double-cab-comfort/SkFDIFQ2IDEuOVREaSBEb3VibGUgQ2FiIENvbWZvcnQ=/?price=374900" xr:uid="{F5B8ADED-BB51-4635-8806-DDD214ADADFB}"/>
    <hyperlink ref="B19" r:id="rId18" display="https://www.carmag.co.za/car-price-guide-view/gwm-steed-5-2-0vgt-double-cab-sx/R1dNIFN0ZWVkIDUgMi4wVkdUIERvdWJsZSBDYWIgU1g=/?price=374950" xr:uid="{41F8C6CA-24A2-43C1-A902-94FFFEB63CC8}"/>
    <hyperlink ref="B20" r:id="rId19" display="https://www.carmag.co.za/car-price-guide-view/toyota-hilux-2-4gd-single-cab-s/VG95b3RhIEhpbHV4IDIuNEdEIFNpbmdsZSBDYWIgUw==/?price=378900" xr:uid="{46E16EEF-3A3E-4689-8DC5-0DB65F00BB70}"/>
    <hyperlink ref="B21" r:id="rId20" display="https://www.carmag.co.za/car-price-guide-view/nissan-navara-2-5ddti-single-cab-xe/Tmlzc2FuIE5hdmFyYSAyLjVERFRpIFNpbmdsZSBDYWIgWEU=/?price=387200" xr:uid="{B4D0D1F6-9A20-43BD-BA11-14B55BBDD5C6}"/>
    <hyperlink ref="B22" r:id="rId21" display="https://www.carmag.co.za/car-price-guide-view/mahindra-pik-up-2-2crde-double-cab-s6/TWFoaW5kcmEgUGlrIFVwIDIuMkNSRGUgRG91YmxlIENhYiBTNg==/?price=389999" xr:uid="{11D7A45B-14D8-4166-AA3E-EACA7DF2AC85}"/>
    <hyperlink ref="B23" r:id="rId22" display="https://www.carmag.co.za/car-price-guide-view/isuzu-d-max-gen-6-250-single-cab-fleetside-safety/SXN1enUgRC1NYXggR2VuIDYgMjUwIFNpbmdsZSBDYWIgRmxlZXRzaWRlIHNhZmV0eQ==/?price=394100" xr:uid="{89A8C68A-1065-4BFF-9154-A475331C5B41}"/>
    <hyperlink ref="B24" r:id="rId23" display="https://www.carmag.co.za/car-price-guide-view/gwm-p-series-2-0td-single-cab-sx/R1dNIFAtU2VyaWVzIDIuMFREIFNpbmdsZSBDYWIgU1g=/?price=404950" xr:uid="{7884D2E6-4DCB-440E-8B55-7A6C8C362F7C}"/>
    <hyperlink ref="B25" r:id="rId24" display="https://www.carmag.co.za/car-price-guide-view/gwm-steed-5-2-0vgt-double-cab-sx-4wd/R1dNIFN0ZWVkIDUgMi4wVkdUIERvdWJsZSBDYWIgU1ggNFdE/?price=406950" xr:uid="{FD5F695C-FAE3-4B9C-B870-EAA9A0A28B0C}"/>
    <hyperlink ref="B26" r:id="rId25" display="https://www.carmag.co.za/car-price-guide-view/mahindra-pik-up-2-2crde-double-cab-s6-karoo/TWFoaW5kcmEgUGlrIFVwIDIuMkNSRGUgRG91YmxlIENhYiBTNiBLYXJvbw==/?price=410999" xr:uid="{2722025B-A04B-493D-AE79-38533083C4C5}"/>
    <hyperlink ref="B27" r:id="rId26" display="https://www.carmag.co.za/car-price-guide-view/isuzu-d-max-1-9td-single-cab/SXN1enUgRC1NYXggMS45VEQgU2luZ2xlIENhYg==/?price=411800" xr:uid="{B6CE0BFA-0FF7-411B-94E4-6EAB67062B23}"/>
    <hyperlink ref="B28" r:id="rId27" display="https://www.carmag.co.za/car-price-guide-view/jac-t6-2-8tdi-double-cab-4wd-lux/SkFDIFQ2IDIuOFREaSBEb3VibGUgQ2FiIDRXRCBMdXg=/?price=419900" xr:uid="{02EB9557-D6F9-40FD-BEBA-CA487E574374}"/>
    <hyperlink ref="B29" r:id="rId28" display="https://www.carmag.co.za/car-price-guide-view/mitsubishi-triton-2-4di-d-single-cab-gl/TWl0c3ViaXNoaSBUcml0b24gMi40REktRCBTaW5nbGUgQ2FiIEdM/?price=419995" xr:uid="{902ABB3A-950A-4139-986A-D68536BC215C}"/>
    <hyperlink ref="B30" r:id="rId29" display="https://www.carmag.co.za/car-price-guide-view/mahindra-pik-up-2-2crde-double-cab-s10/TWFoaW5kcmEgUGlrIFVwIDIuMkNSRGUgRG91YmxlIENhYiBTMTA=/?price=420999" xr:uid="{8DC2D664-C2D8-4DE8-AEA2-4DA236EB14A1}"/>
    <hyperlink ref="B31" r:id="rId30" display="https://www.carmag.co.za/car-price-guide-view/mahindra-pik-up-2-2crde-double-cab-4x4-s6/TWFoaW5kcmEgUGlrIFVwIDIuMkNSRGUgRG91YmxlIENhYiA0eDQgUzY=/?price=428999" xr:uid="{69D68F21-605A-4CBA-823C-A50AB30CDE3C}"/>
    <hyperlink ref="B32" r:id="rId31" display="https://www.carmag.co.za/car-price-guide-view/isuzu-d-max-1-9td-single-cab-l/SXN1enUgRC1NYXggMS45VEQgU2luZ2xlIENhYiBM/?price=431600" xr:uid="{284863B4-603A-4A4E-946B-9977028B2E80}"/>
    <hyperlink ref="B33" r:id="rId32" display="https://www.carmag.co.za/car-price-guide-view/toyota-hilux-2-7-single-cab-s/VG95b3RhIEhpbHV4IDIuNyBTaW5nbGUgQ2FiIFM=/?price=433100" xr:uid="{34FF367F-BBD9-46A5-A26A-E0A9F8F4B76D}"/>
    <hyperlink ref="B34" r:id="rId33" display="https://www.carmag.co.za/car-price-guide-view/gwm-p-series-2-0td-single-cab-dlx/R1dNIFAtU2VyaWVzIDIuMFREIFNpbmdsZSBDYWIgRExY/?price=434950" xr:uid="{40AA5ADF-B29E-4266-8B5E-10FA844066AE}"/>
    <hyperlink ref="B35" r:id="rId34" display="https://www.carmag.co.za/car-price-guide-view/gwm-p-series-2-0td-double-cab-sx/R1dNIFAtU2VyaWVzIDIuMFREIERvdWJsZSBDYWIgU1g=/?price=435950" xr:uid="{F7FE7C54-E514-44C4-9852-68B32A460355}"/>
    <hyperlink ref="B36" r:id="rId35" display="https://www.carmag.co.za/car-price-guide-view/mahindra-pik-up-2-2crde-double-cab-s10-karoo/TWFoaW5kcmEgUGlrIFVwIDIuMkNSRGUgRG91YmxlIENhYiBTMTAgS2Fyb28=/?price=440999" xr:uid="{24597EDA-8CFC-43B3-8413-AD91D29F660C}"/>
    <hyperlink ref="B37" r:id="rId36" display="https://www.carmag.co.za/car-price-guide-view/mahindra-pik-up-2-2crde-double-cab-s6-karoo-auto/TWFoaW5kcmEgUGlrIFVwIDIuMkNSRGUgRG91YmxlIENhYiBTNiBLYXJvbyBhdXRv/?price=441999" xr:uid="{DBF52976-D1C6-4ED9-9A3C-C9A54C7C9C56}"/>
    <hyperlink ref="B38" r:id="rId37" display="https://www.carmag.co.za/car-price-guide-view/isuzu-d-max-1-9td-extended-cab/SXN1enUgRC1NYXggMS45VEQgRXh0ZW5kZWQgY2Fi/?price=444500" xr:uid="{45E82887-37F7-4C3F-AA5D-C4DB8135AA1D}"/>
    <hyperlink ref="B39" r:id="rId38" display="https://www.carmag.co.za/car-price-guide-view/jac-t8-2-0cti-double-cab-lux/SkFDIFQ4IDIuMENUaSBEb3VibGUgQ2FiIEx1eA==/?price=449900" xr:uid="{C13E50FE-8D11-4B66-9A1E-EF7216BF42E5}"/>
    <hyperlink ref="B40" r:id="rId39" display="https://www.carmag.co.za/car-price-guide-view/mahindra-pik-up-2-2crde-double-cab-4x4-s6-karoo/TWFoaW5kcmEgUGlrIFVwIDIuMkNSRGUgRG91YmxlIENhYiA0eDQgUzYgS2Fyb28=/?price=449999" xr:uid="{72E78950-D300-48DA-8DFE-65A893BC4413}"/>
    <hyperlink ref="B41" r:id="rId40" display="https://www.carmag.co.za/car-price-guide-view/isuzu-d-max-1-9td-single-cab-l-auto/SXN1enUgRC1NYXggMS45VEQgU2luZ2xlIENhYiBMIGF1dG8=/?price=450200" xr:uid="{38AD25B6-2319-4798-8CDA-9B82ED6BC829}"/>
    <hyperlink ref="B42" r:id="rId41" display="https://www.carmag.co.za/car-price-guide-view/mahindra-pik-up-2-2crde-double-cab-s11/TWFoaW5kcmEgUGlrIFVwIDIuMkNSRGUgRG91YmxlIENhYiBTMTE=/?price=455999" xr:uid="{02238C37-A13D-4FA4-BE0C-D29B8C335571}"/>
    <hyperlink ref="B43" r:id="rId42" display="https://www.carmag.co.za/car-price-guide-view/isuzu-d-max-1-9td-extended-cab-l/SXN1enUgRC1NYXggMS45VEQgRXh0ZW5kZWQgY2FiIEw=/?price=459800" xr:uid="{5E364FD9-B40C-47D1-9144-C48B943E05C3}"/>
    <hyperlink ref="B44" r:id="rId43" display="https://www.carmag.co.za/car-price-guide-view/gwm-p-series-2-0td-single-cab-sx-4x4/R1dNIFAtU2VyaWVzIDIuMFREIFNpbmdsZSBDYWIgU1ggNHg0/?price=459950" xr:uid="{7A924880-B3A8-453D-B4D5-2FE8596AEEB1}"/>
    <hyperlink ref="B45" r:id="rId44" display="https://www.carmag.co.za/car-price-guide-view/mahindra-pik-up-2-2crde-double-cab-4x4-s10/TWFoaW5kcmEgUGlrIFVwIDIuMkNSRGUgRG91YmxlIENhYiA0eDQgUzEw/?price=459999" xr:uid="{F32190FE-1BC6-4198-B326-56DDD474E18A}"/>
    <hyperlink ref="B46" r:id="rId45" display="https://www.carmag.co.za/car-price-guide-view/gwm-p-series-2-0td-double-cab-dlx/R1dNIFAtU2VyaWVzIDIuMFREIERvdWJsZSBDYWIgRExY/?price=463950" xr:uid="{8EDC11F0-A9DC-4805-8BFD-64CAB9396841}"/>
    <hyperlink ref="B47" r:id="rId46" display="https://www.carmag.co.za/car-price-guide-view/ford-ranger-2-0-sit-single-cab-xl/Rm9yZCBSYW5nZXIgMi4wIFNpVCBTaW5nbGUgQ2FiIFhM/?price=464200" xr:uid="{A361B4A2-D47D-4C4A-BE63-8B1F6140FE34}"/>
    <hyperlink ref="B48" r:id="rId47" display="https://www.carmag.co.za/car-price-guide-view/nissan-navara-2-5ddti-single-cab-se/Tmlzc2FuIE5hdmFyYSAyLjVERFRpIFNpbmdsZSBDYWIgU0U=/?price=466700" xr:uid="{E042ED50-5D13-41A4-A3D5-AAC0C6EF1A6D}"/>
    <hyperlink ref="B49" r:id="rId48" display="https://www.carmag.co.za/car-price-guide-view/toyota-hilux-2-4gd-6-single-cab-sr/VG95b3RhIEhpbHV4IDIuNEdELTYgU2luZ2xlIENhYiBTUg==/?price=469200" xr:uid="{2F0B9ECD-8409-499A-ADBB-2D44AACCD876}"/>
    <hyperlink ref="B50" r:id="rId49" display="https://www.carmag.co.za/car-price-guide-view/ford-ranger-2-0-sit-single-cab-xl-auto/Rm9yZCBSYW5nZXIgMi4wIFNpVCBTaW5nbGUgQ2FiIFhMIGF1dG8=/?price=477800" xr:uid="{D386EAB8-5135-46AF-BCD6-5BD0ADC01603}"/>
    <hyperlink ref="B51" r:id="rId50" display="https://www.carmag.co.za/car-price-guide-view/volkswagen-transporter-2-0tdi-81kw-single-cab/Vm9sa3N3YWdlbiBUcmFuc3BvcnRlciAyLjBUREkgODFrVyBTaW5nbGUgQ2Fi/?price=477900" xr:uid="{80244FFB-4377-449A-B048-04BD5AD366B7}"/>
    <hyperlink ref="B52" r:id="rId51" display="https://www.carmag.co.za/car-price-guide-view/gwm-p-series-2-0td-double-cab-sx-auto/R1dNIFAtU2VyaWVzIDIuMFREIERvdWJsZSBDYWIgU1ggYXV0bw==/?price=477950" xr:uid="{65B23359-4726-406A-9568-9B5198860A98}"/>
    <hyperlink ref="B53" r:id="rId52" display="https://www.carmag.co.za/car-price-guide-view/mahindra-pik-up-2-2crde-double-cab-4x4-s10-karoo/TWFoaW5kcmEgUGlrIFVwIDIuMkNSRGUgRG91YmxlIENhYiA0eDQgUzEwIEthcm9v/?price=479999" xr:uid="{18274A11-672A-440E-B038-84C580E0BFCF}"/>
    <hyperlink ref="B54" r:id="rId53" display="https://www.carmag.co.za/car-price-guide-view/mahindra-pik-up-2-2crde-double-cab-4x4-s6-karoo-auto/TWFoaW5kcmEgUGlrIFVwIDIuMkNSRGUgRG91YmxlIENhYiA0eDQgUzYgS2Fyb28gYXV0bw==/?price=480999" xr:uid="{78B5E550-552B-438B-9E50-5839A39CDD89}"/>
    <hyperlink ref="B55" r:id="rId54" display="https://www.carmag.co.za/car-price-guide-view/ford-ranger-2-0-sit-supercab-xl/Rm9yZCBSYW5nZXIgMi4wIFNpVCBTdXBlckNhYiBYTA==/?price=485400" xr:uid="{5C4BB665-8DB5-49C9-AB9E-E338F6ADEA17}"/>
    <hyperlink ref="B56" r:id="rId55" display="https://www.carmag.co.za/car-price-guide-view/ford-ranger-2-0-sit-double-cab/Rm9yZCBSYW5nZXIgMi4wIFNpVCBEb3VibGUgQ2Fi/?price=486000" xr:uid="{94398423-094A-4077-AD63-A5481D963521}"/>
    <hyperlink ref="B57" r:id="rId56" display="https://www.carmag.co.za/car-price-guide-view/mahindra-pik-up-2-2crde-double-cab-s11-karoo/TWFoaW5kcmEgUGlrIFVwIDIuMkNSRGUgRG91YmxlIENhYiBTMTEgS2Fyb28=/?price=486999" xr:uid="{DCDE0B1C-A1C6-4B54-891A-7872CBB45CBB}"/>
    <hyperlink ref="B58" r:id="rId57" display="https://www.carmag.co.za/car-price-guide-view/gwm-p-series-2-0td-double-cab-sx-4x4/R1dNIFAtU2VyaWVzIDIuMFREIERvdWJsZSBDYWIgU1ggNHg0/?price=487950" xr:uid="{9DDF16DB-DB29-4759-A767-1E2864594F7E}"/>
    <hyperlink ref="B59" r:id="rId58" display="https://www.carmag.co.za/car-price-guide-view/gwm-p-series-2-0td-single-cab-dlx-4x4/R1dNIFAtU2VyaWVzIDIuMFREIFNpbmdsZSBDYWIgRExYIDR4NA==/?price=489950" xr:uid="{A81C2382-BD62-478A-B7B0-24E73D712C20}"/>
    <hyperlink ref="B60" r:id="rId59" display="https://www.carmag.co.za/car-price-guide-view/toyota-hilux-2-7-double-cab-s/VG95b3RhIEhpbHV4IDIuNyBEb3VibGUgQ2FiIFM=/?price=493600" xr:uid="{08DEEB73-47A5-402A-8755-2ABD05CB0790}"/>
    <hyperlink ref="B61" r:id="rId60" display="https://www.carmag.co.za/car-price-guide-view/isuzu-d-max-1-9td-extended-cab-ls/SXN1enUgRC1NYXggMS45VEQgRXh0ZW5kZWQgY2FiIExT/?price=494000" xr:uid="{AEBE4F04-3657-4613-807D-5169FF4D1C5B}"/>
    <hyperlink ref="B62" r:id="rId61" display="https://www.carmag.co.za/car-price-guide-view/mahindra-pik-up-2-2crde-double-cab-4x4-s11/TWFoaW5kcmEgUGlrIFVwIDIuMkNSRGUgRG91YmxlIENhYiA0eDQgUzEx/?price=494999" xr:uid="{F40D1D33-A305-4376-ACE2-95BE119392FE}"/>
    <hyperlink ref="B63" r:id="rId62" display="https://www.carmag.co.za/car-price-guide-view/isuzu-d-max-gen-6-250-double-cab-hi-ride/SXN1enUgRC1NYXggR2VuIDYgMjUwIERvdWJsZSBDYWIgSGktUmlkZQ==/?price=496900" xr:uid="{FC31B375-4D3B-452F-A08D-4DF3833DCD0A}"/>
    <hyperlink ref="B64" r:id="rId63" display="https://www.carmag.co.za/car-price-guide-view/jac-t8-2-0cti-double-cab-4wd-lux/SkFDIFQ4IDIuMENUaSBEb3VibGUgQ2FiIDRXRCBMdXg=/?price=499900" xr:uid="{1FC26C86-EA1E-4391-AE29-1815D0E5247B}"/>
    <hyperlink ref="B65" r:id="rId64" display="https://www.carmag.co.za/car-price-guide-view/nissan-navara-2-5ddti-single-cab-le/Tmlzc2FuIE5hdmFyYSAyLjVERFRpIFNpbmdsZSBDYWIgTEU=/?price=504900" xr:uid="{E1363754-84DF-423C-9C56-09A0C14CDF65}"/>
    <hyperlink ref="B66" r:id="rId65" display="https://www.carmag.co.za/car-price-guide-view/gwm-p-series-2-0td-double-cab-dlx-auto/R1dNIFAtU2VyaWVzIDIuMFREIERvdWJsZSBDYWIgRExYIGF1dG8=/?price=504950" xr:uid="{A5B471E1-1D50-4587-A146-00CAA49043CD}"/>
    <hyperlink ref="B67" r:id="rId66" display="https://www.carmag.co.za/car-price-guide-view/mitsubishi-triton-2-4di-d-double-cab-gl/TWl0c3ViaXNoaSBUcml0b24gMi40REktRCBEb3VibGUgQ2FiIEdM/?price=504990" xr:uid="{3833496F-1D6F-46A9-AECD-04109325602A}"/>
    <hyperlink ref="B68" r:id="rId67" display="https://www.carmag.co.za/car-price-guide-view/toyota-hilux-2-4gd-6-single-cab-raider/VG95b3RhIEhpbHV4IDIuNEdELTYgU2luZ2xlIENhYiBSYWlkZXI=/?price=506900" xr:uid="{DCFC4D75-EBBC-489C-955F-10188CE290F8}"/>
    <hyperlink ref="B69" r:id="rId68" display="https://www.carmag.co.za/car-price-guide-view/isuzu-d-max-1-9td-double-cab-l/SXN1enUgRC1NYXggMS45VEQgRG91YmxlIENhYiBM/?price=511400" xr:uid="{9FBFE2E1-2656-4F5B-96B6-00D2E402C427}"/>
    <hyperlink ref="B70" r:id="rId69" display="https://www.carmag.co.za/car-price-guide-view/isuzu-d-max-1-9td-extended-cab-ls-auto/SXN1enUgRC1NYXggMS45VEQgRXh0ZW5kZWQgY2FiIExTIGF1dG8=/?price=513700" xr:uid="{97A3F981-5D5A-4C2C-92EB-93E77A16CB26}"/>
    <hyperlink ref="B71" r:id="rId70" display="https://www.carmag.co.za/car-price-guide-view/nissan-navara-2-5ddti-double-cab-se/Tmlzc2FuIE5hdmFyYSAyLjVERFRpIERvdWJsZSBDYWIgU0U=/?price=514500" xr:uid="{B918C039-56E4-4A09-8401-BA45CA9B2785}"/>
    <hyperlink ref="B72" r:id="rId71" display="https://www.carmag.co.za/car-price-guide-view/gwm-p-series-2-0td-double-cab-dlx-4x4/R1dNIFAtU2VyaWVzIDIuMFREIERvdWJsZSBDYWIgRExYIDR4NA==/?price=514950" xr:uid="{7CA0FE72-F583-450C-BD16-2B682A6A5B5A}"/>
    <hyperlink ref="B73" r:id="rId72" display="https://www.carmag.co.za/car-price-guide-view/gwm-p-series-2-0td-double-cab-ls/R1dNIFAtU2VyaWVzIDIuMFREIERvdWJsZSBDYWIgTFM=/?price=515950" xr:uid="{980F1DD0-4482-4D31-B025-932807EAB16E}"/>
    <hyperlink ref="B74" r:id="rId73" display="https://www.carmag.co.za/car-price-guide-view/isuzu-d-max-gen-6-250-double-cab-hi-ride-auto/SXN1enUgRC1NYXggR2VuIDYgMjUwIERvdWJsZSBDYWIgSGktUmlkZSBhdXRv/?price=517700" xr:uid="{64D8A103-BD8C-4AFB-837F-91A2236CF316}"/>
    <hyperlink ref="B75" r:id="rId74" display="https://www.carmag.co.za/car-price-guide-view/toyota-hilux-2-4gd-6-xtra-cab-raider/VG95b3RhIEhpbHV4IDIuNEdELTYgWHRyYSBDYWIgUmFpZGVy/?price=521500" xr:uid="{E6B3E746-713F-4DC0-9FB8-2768C86FD541}"/>
    <hyperlink ref="B76" r:id="rId75" display="https://www.carmag.co.za/car-price-guide-view/isuzu-d-max-1-9td-single-cab-l-4x4/SXN1enUgRC1NYXggMS45VEQgU2luZ2xlIENhYiBMIDR4NA==/?price=523900" xr:uid="{45A83537-5E57-4DD9-A707-7E02D71DA9D7}"/>
    <hyperlink ref="B77" r:id="rId76" display="https://www.carmag.co.za/car-price-guide-view/gwm-p-series-2-0td-double-cab-sx-4x4-auto/R1dNIFAtU2VyaWVzIDIuMFREIERvdWJsZSBDYWIgU1ggNHg0IGF1dG8=/?price=524950" xr:uid="{D7592758-041B-4043-97CB-6458CC858581}"/>
    <hyperlink ref="B78" r:id="rId77" display="https://www.carmag.co.za/car-price-guide-view/mahindra-pik-up-2-2crde-double-cab-4x4-s11-karoo/TWFoaW5kcmEgUGlrIFVwIDIuMkNSRGUgRG91YmxlIENhYiA0eDQgUzExIEthcm9v/?price=525999" xr:uid="{2F3585D3-60D1-468E-9D56-F53599DFCCE5}"/>
    <hyperlink ref="B79" r:id="rId78" display="https://www.carmag.co.za/car-price-guide-view/toyota-hilux-2-4gd-6-single-cab-raider-auto/VG95b3RhIEhpbHV4IDIuNEdELTYgU2luZ2xlIENhYiBSYWlkZXIgYXV0bw==/?price=527600" xr:uid="{3A9B31D3-62EF-4362-9F22-AC1D58446391}"/>
    <hyperlink ref="B80" r:id="rId79" display="https://www.carmag.co.za/car-price-guide-view/ford-ranger-2-0-sit-double-cab-4x4/Rm9yZCBSYW5nZXIgMi4wIFNpVCBEb3VibGUgQ2FiIDR4NA==/?price=528600" xr:uid="{D73650D9-027B-469C-80FD-4C4E51202114}"/>
    <hyperlink ref="B81" r:id="rId80" display="https://www.carmag.co.za/car-price-guide-view/ford-ranger-2-0-sit-double-cab-xl/Rm9yZCBSYW5nZXIgMi4wIFNpVCBEb3VibGUgQ2FiIFhM/?price=529900" xr:uid="{D157887D-3FF7-42FC-81B5-F6785FF2D39E}"/>
    <hyperlink ref="B82" r:id="rId81" display="https://www.carmag.co.za/car-price-guide-view/isuzu-d-max-1-9td-double-cab-l-auto/SXN1enUgRC1NYXggMS45VEQgRG91YmxlIENhYiBMIGF1dG8=/?price=530100" xr:uid="{2ACF2198-341A-419F-82C9-1DEFEC74D692}"/>
    <hyperlink ref="B83" r:id="rId82" display="https://www.carmag.co.za/car-price-guide-view/ford-ranger-2-0-sit-single-cab-xl-4x4/Rm9yZCBSYW5nZXIgMi4wIFNpVCBTaW5nbGUgQ2FiIFhMIDR4NA==/?price=531300" xr:uid="{6D4F51BE-FF84-4039-B496-BB399F506D77}"/>
    <hyperlink ref="B84" r:id="rId83" display="https://www.carmag.co.za/car-price-guide-view/toyota-hilux-2-4gd-6-double-cab-sr/VG95b3RhIEhpbHV4IDIuNEdELTYgRG91YmxlIENhYiBTUg==/?price=534400" xr:uid="{05804548-CC81-48AF-B28A-85BD5F5EEDD6}"/>
    <hyperlink ref="B85" r:id="rId84" display="https://www.carmag.co.za/car-price-guide-view/isuzu-d-max-1-9td-double-cab-ls/SXN1enUgRC1NYXggMS45VEQgRG91YmxlIENhYiBMUw==/?price=538900" xr:uid="{9E95AE32-E589-4C83-922E-F1BD10544F03}"/>
    <hyperlink ref="B86" r:id="rId85" display="https://www.carmag.co.za/car-price-guide-view/toyota-hilux-2-4gd-6-single-cab-4x4-sr/VG95b3RhIEhpbHV4IDIuNEdELTYgU2luZ2xlIENhYiA0eDQgU1I=/?price=540000" xr:uid="{4F645F41-1D9C-4A1B-8813-94FA1D5A729C}"/>
    <hyperlink ref="B87" r:id="rId86" display="https://www.carmag.co.za/car-price-guide-view/nissan-navara-2-5ddti-single-cab-se-4x4/Tmlzc2FuIE5hdmFyYSAyLjVERFRpIFNpbmdsZSBDYWIgU0UgNHg0/?price=541200" xr:uid="{A2179291-EEE4-46C7-8714-040E601B79C9}"/>
    <hyperlink ref="B88" r:id="rId87" display="https://www.carmag.co.za/car-price-guide-view/toyota-hilux-2-4gd-6-xtra-cab-raider-auto/VG95b3RhIEhpbHV4IDIuNEdELTYgWHRyYSBDYWIgUmFpZGVyIGF1dG8=/?price=542100" xr:uid="{C145AD15-ADF3-485D-99DC-73185058A6A4}"/>
    <hyperlink ref="B89" r:id="rId88" display="https://www.carmag.co.za/car-price-guide-view/nissan-navara-2-5ddti-double-cab-se-auto/Tmlzc2FuIE5hdmFyYSAyLjVERFRpIERvdWJsZSBDYWIgU0UgYXV0bw==/?price=542900" xr:uid="{7AC7F3A6-6154-4D3C-ACEA-2B2BBD1730E2}"/>
    <hyperlink ref="B90" r:id="rId89" display="https://www.carmag.co.za/car-price-guide-view/ford-ranger-2-0-sit-double-cab-xl-auto/Rm9yZCBSYW5nZXIgMi4wIFNpVCBEb3VibGUgQ2FiIFhMIGF1dG8=/?price=544400" xr:uid="{A12346A3-1725-48B0-B610-92DCB394C459}"/>
    <hyperlink ref="B91" r:id="rId90" display="https://www.carmag.co.za/car-price-guide-view/ford-ranger-2-0-sit-single-cab-xl-4x4-auto/Rm9yZCBSYW5nZXIgMi4wIFNpVCBTaW5nbGUgQ2FiIFhMIDR4NCBhdXRv/?price=545000" xr:uid="{A5BB4942-80F2-4D40-80B6-AD3BD87341EA}"/>
    <hyperlink ref="B92" r:id="rId91" display="https://www.carmag.co.za/car-price-guide-view/ford-ranger-2-0-sit-supercab-xlt/Rm9yZCBSYW5nZXIgMi4wIFNpVCBTdXBlckNhYiBYTFQ=/?price=547100" xr:uid="{1E8ECC72-E59F-4A75-885D-169A358262B3}"/>
    <hyperlink ref="B93" r:id="rId92" display="https://www.carmag.co.za/car-price-guide-view/gwm-p-series-2-0td-double-cab-dlx-4x4-auto/R1dNIFAtU2VyaWVzIDIuMFREIERvdWJsZSBDYWIgRExYIDR4NCBhdXRv/?price=551950" xr:uid="{B384B3BB-AEF3-4FA0-A410-A9C0CAB90470}"/>
    <hyperlink ref="B94" r:id="rId93" display="https://www.carmag.co.za/car-price-guide-view/isuzu-d-max-1-9td-double-cab-ls-auto/SXN1enUgRC1NYXggMS45VEQgRG91YmxlIENhYiBMUyBhdXRv/?price=556000" xr:uid="{77BE749F-20AE-4A7B-8262-B902CAA3F503}"/>
    <hyperlink ref="B95" r:id="rId94" display="https://www.carmag.co.za/car-price-guide-view/nissan-navara-2-5ddti-double-cab-se-plus/Tmlzc2FuIE5hdmFyYSAyLjVERFRpIERvdWJsZSBDYWIgU0UgUGx1cw==/?price=556500" xr:uid="{BEAA552D-8FA4-4A16-AAAF-A06705153BFE}"/>
    <hyperlink ref="B96" r:id="rId95" display="https://www.carmag.co.za/car-price-guide-view/volkswagen-transporter-2-0tdi-81kw-double-cab/Vm9sa3N3YWdlbiBUcmFuc3BvcnRlciAyLjBUREkgODFrVyBEb3VibGUgQ2Fi/?price=562300" xr:uid="{1B7559B6-7DE4-4115-822E-FA878B7BE804}"/>
    <hyperlink ref="B97" r:id="rId96" display="https://www.carmag.co.za/car-price-guide-view/gwm-p-series-2-0td-double-cab-ls-4x4/R1dNIFAtU2VyaWVzIDIuMFREIERvdWJsZSBDYWIgTFMgNHg0/?price=565950" xr:uid="{BED7BA32-ADA8-48B8-8640-44B21990DC0D}"/>
    <hyperlink ref="B98" r:id="rId97" display="https://www.carmag.co.za/car-price-guide-view/toyota-hilux-2-4gd-6-double-cab-raider/VG95b3RhIEhpbHV4IDIuNEdELTYgRG91YmxlIENhYiBSYWlkZXI=/?price=567600" xr:uid="{7D1F9107-C39B-4D2A-81E5-9C544CF782CE}"/>
    <hyperlink ref="B99" r:id="rId98" display="https://www.carmag.co.za/car-price-guide-view/nissan-navara-2-5ddti-double-cab-se-plus-auto/Tmlzc2FuIE5hdmFyYSAyLjVERFRpIERvdWJsZSBDYWIgU0UgUGx1cyBhdXRv/?price=578900" xr:uid="{9C51E474-E4EE-4E0E-A3E1-B5628D8CCDDE}"/>
    <hyperlink ref="B100" r:id="rId99" display="https://www.carmag.co.za/car-price-guide-view/nissan-navara-2-5ddti-single-cab-le-4x4/Tmlzc2FuIE5hdmFyYSAyLjVERFRpIFNpbmdsZSBDYWIgTEUgNHg0/?price=582900" xr:uid="{8E3E5A59-9472-4AD9-A2C2-A0EFBD1334CD}"/>
    <hyperlink ref="B101" r:id="rId100" display="https://www.carmag.co.za/car-price-guide-view/toyota-hilux-2-4gd-6-single-cab-4x4-raider/VG95b3RhIEhpbHV4IDIuNEdELTYgU2luZ2xlIENhYiA0eDQgUmFpZGVy/?price=583200" xr:uid="{ED2B18A4-F365-4E8C-8C83-F348E5DF6DF0}"/>
    <hyperlink ref="B102" r:id="rId101" display="https://www.carmag.co.za/car-price-guide-view/toyota-hilux-2-4gd-6-double-cab-raider-auto/VG95b3RhIEhpbHV4IDIuNEdELTYgRG91YmxlIENhYiBSYWlkZXIgYXV0bw==/?price=585500" xr:uid="{B37E0791-2B3C-4DA1-8566-2BFA5EC258E7}"/>
    <hyperlink ref="B103" r:id="rId102" display="https://www.carmag.co.za/car-price-guide-view/gwm-p-series-2-0td-double-cab-lt/R1dNIFAtU2VyaWVzIDIuMFREIERvdWJsZSBDYWIgTFQ=/?price=589950" xr:uid="{A20BCD75-AE0B-4C22-AE7D-921A960A7243}"/>
    <hyperlink ref="B104" r:id="rId103" display="https://www.carmag.co.za/car-price-guide-view/ford-ranger-2-0-sit-double-cab-xlt/Rm9yZCBSYW5nZXIgMi4wIFNpVCBEb3VibGUgQ2FiIFhMVA==/?price=592700" xr:uid="{3B93BEA3-5744-487C-AF67-150E95F45689}"/>
    <hyperlink ref="B105" r:id="rId104" display="https://www.carmag.co.za/car-price-guide-view/isuzu-d-max-1-9td-double-cab-l-4x4/SXN1enUgRC1NYXggMS45VEQgRG91YmxlIENhYiBMIDR4NA==/?price=595300" xr:uid="{1902E157-99F0-4107-94A9-0D15CAEEA316}"/>
    <hyperlink ref="B106" r:id="rId105" display="https://www.carmag.co.za/car-price-guide-view/peugeot-landtrek-1-9td-double-cab-allure/UGV1Z2VvdCBMYW5kdHJlayAxLjlURCBEb3VibGUgQ2FiIEFsbHVyZQ==/?price=599900" xr:uid="{65DF0028-161B-4854-BF8E-4E5FD4D2B8AF}"/>
    <hyperlink ref="B107" r:id="rId106" display="https://www.carmag.co.za/car-price-guide-view/mitsubishi-triton-2-4di-d-double-cab/TWl0c3ViaXNoaSBUcml0b24gMi40REktRCBEb3VibGUgQ2Fi/?price=599990" xr:uid="{562D5865-EAA0-4A94-BCF2-1B90410AC7D9}"/>
    <hyperlink ref="B108" r:id="rId107" display="https://www.carmag.co.za/car-price-guide-view/nissan-navara-2-5ddti-double-cab-se-4x4/Tmlzc2FuIE5hdmFyYSAyLjVERFRpIERvdWJsZSBDYWIgU0UgNHg0/?price=601900" xr:uid="{4CC26D36-A862-4E9A-92D5-FEDD4BDC6C4D}"/>
    <hyperlink ref="B109" r:id="rId108" display="https://www.carmag.co.za/car-price-guide-view/toyota-hilux-2-8gd-6-single-cab-raider-auto/VG95b3RhIEhpbHV4IDIuOEdELTYgU2luZ2xlIENhYiBSYWlkZXIgYXV0bw==/?price=602400" xr:uid="{BEF6000B-C431-4AF9-A454-56C0347E4AF2}"/>
    <hyperlink ref="B110" r:id="rId109" display="https://www.carmag.co.za/car-price-guide-view/toyota-hilux-2-4gd-6-single-cab-4x4-raider-auto/VG95b3RhIEhpbHV4IDIuNEdELTYgU2luZ2xlIENhYiA0eDQgUmFpZGVyIGF1dG8=/?price=605700" xr:uid="{C3FA2AAF-9B09-4566-BC61-4826CCE2D505}"/>
    <hyperlink ref="B111" r:id="rId110" display="https://www.carmag.co.za/car-price-guide-view/ford-ranger-2-0-sit-double-cab-xl-4x4/Rm9yZCBSYW5nZXIgMi4wIFNpVCBEb3VibGUgQ2FiIFhMIDR4NA==/?price=607300" xr:uid="{03A320CF-8062-46E5-ADF9-1D953C1DFA86}"/>
    <hyperlink ref="B112" r:id="rId111" display="https://www.carmag.co.za/car-price-guide-view/isuzu-d-max-3-0td-extended-cab-lse/SXN1enUgRC1NYXggMy4wVEQgRXh0ZW5kZWQgY2FiIExTRQ==/?price=610000" xr:uid="{E1047946-74BF-4D6B-9D6E-D64D8579454E}"/>
    <hyperlink ref="B113" r:id="rId112" display="https://www.carmag.co.za/car-price-guide-view/toyota-hilux-2-8gd-6-xtra-cab-legend/VG95b3RhIEhpbHV4IDIuOEdELTYgWHRyYSBDYWIgTGVnZW5k/?price=611000" xr:uid="{F7AFC951-E809-41FF-8C88-FA5650AF045B}"/>
    <hyperlink ref="B114" r:id="rId113" display="https://www.carmag.co.za/car-price-guide-view/toyota-hilux-2-4gd-6-double-cab-4x4-sr/VG95b3RhIEhpbHV4IDIuNEdELTYgRG91YmxlIENhYiA0eDQgU1I=/?price=615300" xr:uid="{4A50CEFB-FA19-47DF-99D4-26FB3D5E822A}"/>
    <hyperlink ref="B115" r:id="rId114" display="https://www.carmag.co.za/car-price-guide-view/mitsubishi-triton-2-4di-d-double-cab-auto/TWl0c3ViaXNoaSBUcml0b24gMi40REktRCBEb3VibGUgQ2FiIGF1dG8=/?price=619990" xr:uid="{1DDA4E20-7BDE-4AAD-84AC-1C5FEDCFEFB6}"/>
    <hyperlink ref="B116" r:id="rId115" display="https://www.carmag.co.za/car-price-guide-view/ford-ranger-2-0-sit-double-cab-xl-4x4-auto/Rm9yZCBSYW5nZXIgMi4wIFNpVCBEb3VibGUgQ2FiIFhMIDR4NCBhdXRv/?price=621900" xr:uid="{4BCF47FD-98E4-4870-9E9F-CE740B358FC9}"/>
    <hyperlink ref="B117" r:id="rId116" display="https://www.carmag.co.za/car-price-guide-view/mahindra-pik-up-2-2crde-double-cab-4x4-s11-karoo-dusk/TWFoaW5kcmEgUGlrIFVwIDIuMkNSRGUgRG91YmxlIENhYiA0eDQgUzExIEthcm9vIER1c2s=/?price=624999" xr:uid="{06968A18-E953-434E-8B24-9F9F459BB21E}"/>
    <hyperlink ref="B118" r:id="rId117" display="https://www.carmag.co.za/car-price-guide-view/mazda-bt-50-1-9td-double-cab-active/TWF6ZGEgQlQtNTAgMS45VEQgRG91YmxlIENhYiBBY3RpdmU=/?price=630400" xr:uid="{5E8A96E6-746B-42DF-91AC-F79DA1213294}"/>
    <hyperlink ref="B119" r:id="rId118" display="https://www.carmag.co.za/car-price-guide-view/mahindra-pik-up-2-2crde-double-cab-4x4-s11-karoo-storm/TWFoaW5kcmEgUGlrIFVwIDIuMkNSRGUgRG91YmxlIENhYiA0eDQgUzExIEthcm9vIFN0b3Jt/?price=634999" xr:uid="{B98235F1-13C7-41C2-8C2F-C9E20194604D}"/>
    <hyperlink ref="B120" r:id="rId119" display="https://www.carmag.co.za/car-price-guide-view/nissan-navara-2-5ddti-double-cab-se-plus-4x4/Tmlzc2FuIE5hdmFyYSAyLjVERFRpIERvdWJsZSBDYWIgU0UgUGx1cyA0eDQ=/?price=636500" xr:uid="{B206510A-A71D-4D41-9786-2CE89E5B5A91}"/>
    <hyperlink ref="B121" r:id="rId120" display="https://www.carmag.co.za/car-price-guide-view/toyota-hilux-2-8gd-6-xtra-cab-legend-auto/VG95b3RhIEhpbHV4IDIuOEdELTYgWHRyYSBDYWIgTGVnZW5kIGF1dG8=/?price=638800" xr:uid="{EB1376EA-2F35-45E9-A952-B670515F29AE}"/>
    <hyperlink ref="B122" r:id="rId121" display="https://www.carmag.co.za/car-price-guide-view/gwm-p-series-2-0td-double-cab-lt-4x4/R1dNIFAtU2VyaWVzIDIuMFREIERvdWJsZSBDYWIgTFQgNHg0/?price=640950" xr:uid="{58F22D1D-0AAA-4605-BA44-F558BC44F90B}"/>
    <hyperlink ref="B123" r:id="rId122" display="https://www.carmag.co.za/car-price-guide-view/isuzu-d-max-1-9td-double-cab-ls-4x4/SXN1enUgRC1NYXggMS45VEQgRG91YmxlIENhYiBMUyA0eDQ=/?price=650100" xr:uid="{5A97F3AE-89A4-411D-B1EC-CC4733C719EC}"/>
    <hyperlink ref="B124" r:id="rId123" display="https://www.carmag.co.za/car-price-guide-view/toyota-hilux-2-4gd-6-double-cab-4x4-raider/VG95b3RhIEhpbHV4IDIuNEdELTYgRG91YmxlIENhYiA0eDQgUmFpZGVy/?price=655100" xr:uid="{0BD0354D-97F3-49A2-9A51-CFF95EF5E4B4}"/>
    <hyperlink ref="B125" r:id="rId124" display="https://www.carmag.co.za/car-price-guide-view/nissan-navara-2-5ddti-double-cab-le-auto/Tmlzc2FuIE5hdmFyYSAyLjVERFRpIERvdWJsZSBDYWIgTEUgYXV0bw==/?price=661500" xr:uid="{12B4CF30-735C-420A-9855-0D00D8A8B950}"/>
    <hyperlink ref="B126" r:id="rId125" display="https://www.carmag.co.za/car-price-guide-view/mazda-bt-50-1-9td-double-cab-active-auto/TWF6ZGEgQlQtNTAgMS45VEQgRG91YmxlIENhYiBBY3RpdmUgYXV0bw==/?price=667500" xr:uid="{285D7B13-BA0D-42ED-8514-C7D0064FBCF6}"/>
    <hyperlink ref="B127" r:id="rId126" display="https://www.carmag.co.za/car-price-guide-view/ford-ranger-2-0-sit-double-cab-xlt-4x4/Rm9yZCBSYW5nZXIgMi4wIFNpVCBEb3VibGUgQ2FiIFhMVCA0eDQ=/?price=669800" xr:uid="{77C5FB8C-A0C1-430D-AD7E-3E510A4ADABB}"/>
    <hyperlink ref="B128" r:id="rId127" display="https://www.carmag.co.za/car-price-guide-view/toyota-hilux-2-8gd-6-single-cab-4x4-raider-auto/VG95b3RhIEhpbHV4IDIuOEdELTYgU2luZ2xlIENhYiA0eDQgUmFpZGVyIGF1dG8=/?price=675000" xr:uid="{10FFB443-4776-4A42-9344-8CF06F41D072}"/>
    <hyperlink ref="B129" r:id="rId128" display="https://www.carmag.co.za/car-price-guide-view/mitsubishi-triton-2-4di-d-double-cab-4x4/TWl0c3ViaXNoaSBUcml0b24gMi40REktRCBEb3VibGUgQ2FiIDR4NA==/?price=679990" xr:uid="{844C9F35-7F1A-4846-970D-F9A7B793F6E9}"/>
    <hyperlink ref="B130" r:id="rId129" display="https://www.carmag.co.za/car-price-guide-view/toyota-hilux-2-4gd-6-double-cab-4x4-raider-auto/VG95b3RhIEhpbHV4IDIuNEdELTYgRG91YmxlIENhYiA0eDQgUmFpZGVyIGF1dG8=/?price=683800" xr:uid="{9B0B1779-9BDC-4D0D-9D93-09E688F1911D}"/>
    <hyperlink ref="B131" r:id="rId130" display="https://www.carmag.co.za/car-price-guide-view/isuzu-d-max-3-0td-extended-cab-lse-4x4/SXN1enUgRC1NYXggMy4wVEQgRXh0ZW5kZWQgY2FiIExTRSA0eDQ=/?price=687100" xr:uid="{F4BFCB69-3EA6-4A23-9C2C-5E493089263B}"/>
    <hyperlink ref="B132" r:id="rId131" display="https://www.carmag.co.za/car-price-guide-view/ford-ranger-2-0-biturbo-supercab-xlt-4x4/Rm9yZCBSYW5nZXIgMi4wIEJpVHVyYm8gU3VwZXJDYWIgWExUIDR4NA==/?price=688900" xr:uid="{48835193-0D41-46B7-A7A2-640E4158DA11}"/>
    <hyperlink ref="B133" r:id="rId132" display="https://www.carmag.co.za/car-price-guide-view/mitsubishi-triton-2-4di-d-double-cab-xtreme/TWl0c3ViaXNoaSBUcml0b24gMi40REktRCBEb3VibGUgQ2FiIFh0cmVtZQ==/?price=688990" xr:uid="{2113FD7D-AF22-4023-AF5D-8846F69F7C6D}"/>
    <hyperlink ref="B134" r:id="rId133" display="https://www.carmag.co.za/car-price-guide-view/peugeot-landtrek-1-9td-4action-double-cab-4x4/UGV1Z2VvdCBMYW5kdHJlayAxLjlURCA0QWN0aW9uIERvdWJsZSBDYWIgNHg0/?price=689900" xr:uid="{CB82771D-9324-434E-85A2-6807390F6F57}"/>
    <hyperlink ref="B135" r:id="rId134" display="https://www.carmag.co.za/car-price-guide-view/toyota-hilux-2-8gd-6-xtra-cab-4x4-legend/VG95b3RhIEhpbHV4IDIuOEdELTYgWHRyYSBDYWIgNHg0IExlZ2VuZA==/?price=691100" xr:uid="{8020E8BB-59B2-4ED2-BAB0-B2AC0E58802E}"/>
    <hyperlink ref="B136" r:id="rId135" display="https://www.carmag.co.za/car-price-guide-view/isuzu-d-max-3-0td-double-cab-ls-4x4/SXN1enUgRC1NYXggMy4wVEQgRG91YmxlIENhYiBMUyA0eDQ=/?price=696400" xr:uid="{5202B137-1BD1-468B-9962-49E2DCB31E05}"/>
    <hyperlink ref="B137" r:id="rId136" display="https://www.carmag.co.za/car-price-guide-view/mitsubishi-triton-2-4di-d-double-cab-4x4-auto/TWl0c3ViaXNoaSBUcml0b24gMi40REktRCBEb3VibGUgQ2FiIDR4NCBhdXRv/?price=699990" xr:uid="{4E13016C-6052-4039-9869-161FAE5FDBD9}"/>
    <hyperlink ref="B138" r:id="rId137" display="https://www.carmag.co.za/car-price-guide-view/ford-ranger-2-0-biturbo-double-cab-xlt/Rm9yZCBSYW5nZXIgMi4wIEJpVHVyYm8gRG91YmxlIENhYiBYTFQ=/?price=702300" xr:uid="{5C3E4162-179E-4CD8-AC2B-96B7CB2ED538}"/>
    <hyperlink ref="B139" r:id="rId138" display="https://www.carmag.co.za/car-price-guide-view/toyota-land-cruiser-79-4-0-v6-single-cab/VG95b3RhIExhbmQgQ3J1aXNlciA3OSA0LjAgVjYgU2luZ2xlIENhYg==/?price=706200" xr:uid="{6DC324C1-4B06-42AA-B4B8-5B04585B9F54}"/>
    <hyperlink ref="B140" r:id="rId139" display="https://www.carmag.co.za/car-price-guide-view/toyota-hilux-2-8gd-6-double-cab-raider-auto/VG95b3RhIEhpbHV4IDIuOEdELTYgRG91YmxlIENhYiBSYWlkZXIgYXV0bw==/?price=709000" xr:uid="{D5F36943-DE33-418B-9D60-85D8A835C310}"/>
    <hyperlink ref="B141" r:id="rId140" display="https://www.carmag.co.za/car-price-guide-view/volkswagen-transporter-2-0bitdi-146kw-double-cab-4motion/Vm9sa3N3YWdlbiBUcmFuc3BvcnRlciAyLjBCaVRESSAxNDZrVyBEb3VibGUgQ2FiIDRNb3Rpb24=/?price=713000" xr:uid="{8C1C9CBD-7CB6-4706-849C-E12C261FA531}"/>
    <hyperlink ref="B142" r:id="rId141" display="https://www.carmag.co.za/car-price-guide-view/isuzu-d-max-3-0td-double-cab-ls-4x4-auto/SXN1enUgRC1NYXggMy4wVEQgRG91YmxlIENhYiBMUyA0eDQgYXV0bw==/?price=714700" xr:uid="{EFF61F1B-14BD-452C-825B-6BCFC8BB9194}"/>
    <hyperlink ref="B143" r:id="rId142" display="https://www.carmag.co.za/car-price-guide-view/toyota-hilux-2-8gd-6-xtra-cab-4x4-legend-auto/VG95b3RhIEhpbHV4IDIuOEdELTYgWHRyYSBDYWIgNHg0IExlZ2VuZCBhdXRv/?price=719400" xr:uid="{4F22B0F4-4DE6-4700-9514-2951F6886E5E}"/>
    <hyperlink ref="B144" r:id="rId143" display="https://www.carmag.co.za/car-price-guide-view/nissan-navara-2-5ddti-double-cab-le-4x4/Tmlzc2FuIE5hdmFyYSAyLjVERFRpIERvdWJsZSBDYWIgTEUgNHg0/?price=722900" xr:uid="{314A631B-743E-4895-9B81-D7AA805E35E1}"/>
    <hyperlink ref="B145" r:id="rId144" display="https://www.carmag.co.za/car-price-guide-view/isuzu-d-max-3-0td-double-cab-lse/SXN1enUgRC1NYXggMy4wVEQgRG91YmxlIENhYiBMU0U=/?price=734400" xr:uid="{13F1EB4C-FB1E-49EF-8681-E7AF2295C524}"/>
    <hyperlink ref="B146" r:id="rId145" display="https://www.carmag.co.za/car-price-guide-view/mitsubishi-triton-2-4di-d-double-cab-4x4-heritage/TWl0c3ViaXNoaSBUcml0b24gMi40REktRCBEb3VibGUgQ2FiIDR4NCBIZXJpdGFnZQ==/?price=739990" xr:uid="{1B729A07-A27D-4C96-9707-8C5D3EBB1683}"/>
    <hyperlink ref="B147" r:id="rId146" display="https://www.carmag.co.za/car-price-guide-view/nissan-navara-2-5ddti-double-cab-le-4x4-auto/Tmlzc2FuIE5hdmFyYSAyLjVERFRpIERvdWJsZSBDYWIgTEUgNHg0IGF1dG8=/?price=740500" xr:uid="{72A8ABAF-6ABE-4E8E-9EE2-42A956CCE73E}"/>
    <hyperlink ref="B148" r:id="rId147" display="https://www.carmag.co.za/car-price-guide-view/toyota-land-cruiser-79-4-2d-single-cab/VG95b3RhIExhbmQgQ3J1aXNlciA3OSA0LjJEIFNpbmdsZSBDYWI=/?price=750900" xr:uid="{FA4E453B-FBF5-45C8-ADDB-885704B24CE8}"/>
    <hyperlink ref="B149" r:id="rId148" display="https://www.carmag.co.za/car-price-guide-view/nissan-navara-2-5ddti-double-cab-pro-2x/Tmlzc2FuIE5hdmFyYSAyLjVERFRpIERvdWJsZSBDYWIgUFJPLTJY/?price=756500" xr:uid="{39081D2A-60B5-471D-B901-70036EEC47D2}"/>
    <hyperlink ref="B150" r:id="rId149" display="https://www.carmag.co.za/car-price-guide-view/toyota-hilux-2-8gd-6-double-cab-legend/VG95b3RhIEhpbHV4IDIuOEdELTYgRG91YmxlIENhYiBMZWdlbmQ=/?price=757200" xr:uid="{1F286824-9046-4271-B856-D564B041C487}"/>
    <hyperlink ref="B151" r:id="rId150" display="https://www.carmag.co.za/car-price-guide-view/mitsubishi-triton-2-4di-d-double-cab-4x4-xtreme/TWl0c3ViaXNoaSBUcml0b24gMi40REktRCBEb3VibGUgQ2FiIDR4NCBYdHJlbWU=/?price=768990" xr:uid="{1D109587-D289-411F-89A4-F917D6827BF1}"/>
    <hyperlink ref="B152" r:id="rId151" display="https://www.carmag.co.za/car-price-guide-view/ford-ranger-2-0-biturbo-supercab-wildtrak-4x4/Rm9yZCBSYW5nZXIgMi4wIEJpVHVyYm8gU3VwZXJDYWIgV2lsZHRyYWsgNHg0/?price=772800" xr:uid="{CDBCF692-1017-4108-B2DD-5EB08DA17D96}"/>
    <hyperlink ref="B153" r:id="rId152" display="https://www.carmag.co.za/car-price-guide-view/ford-ranger-2-0-biturbo-double-cab-wildtrak/Rm9yZCBSYW5nZXIgMi4wIEJpVHVyYm8gRG91YmxlIENhYiBXaWxkdHJhaw==/?price=778300" xr:uid="{CF38506E-037E-4977-AEE7-F04ABBEF0F26}"/>
    <hyperlink ref="B154" r:id="rId153" display="https://www.carmag.co.za/car-price-guide-view/isuzu-d-max-3-0td-double-cab-v-cross/SXN1enUgRC1NYXggMy4wVEQgRG91YmxlIENhYiBWLUNyb3Nz/?price=779200" xr:uid="{ACABF26A-A8C1-4749-99B5-355CC2033CC2}"/>
    <hyperlink ref="B155" r:id="rId154" display="https://www.carmag.co.za/car-price-guide-view/ford-ranger-2-0-biturbo-double-cab-xlt-4x4/Rm9yZCBSYW5nZXIgMi4wIEJpVHVyYm8gRG91YmxlIENhYiBYTFQgNHg0/?price=782100" xr:uid="{2F9DD599-82EB-44E8-99DF-ADD3237ECBD4}"/>
    <hyperlink ref="B156" r:id="rId155" display="https://www.carmag.co.za/car-price-guide-view/mazda-bt-50-3-0td-double-cab-dynamic/TWF6ZGEgQlQtNTAgMy4wVEQgRG91YmxlIENhYiBEeW5hbWlj/?price=782400" xr:uid="{8C399DF3-D63C-4AAC-863E-AA54B749BEDB}"/>
    <hyperlink ref="B157" r:id="rId156" display="https://www.carmag.co.za/car-price-guide-view/isuzu-d-max-3-0td-double-cab-lse-4x4/SXN1enUgRC1NYXggMy4wVEQgRG91YmxlIENhYiBMU0UgNHg0/?price=790400" xr:uid="{A9B7CC9B-0E6C-4C8D-BC0E-430D83CAC167}"/>
    <hyperlink ref="B158" r:id="rId157" display="https://www.carmag.co.za/car-price-guide-view/toyota-hilux-2-8gd-6-double-cab-4x4-raider-auto/VG95b3RhIEhpbHV4IDIuOEdELTYgRG91YmxlIENhYiA0eDQgUmFpZGVyIGF1dG8=/?price=792600" xr:uid="{77D545BE-1805-48B6-9C67-3F2826663F79}"/>
    <hyperlink ref="B159" r:id="rId158" display="https://www.carmag.co.za/car-price-guide-view/volkswagen-amarok-2-0bitdi-double-cab-highline-4motion/Vm9sa3N3YWdlbiBBbWFyb2sgMi4wQmlUREkgRG91YmxlIENhYiBIaWdobGluZSA0TW90aW9u/?price=794200" xr:uid="{D1CF5320-A9F6-4AC6-8713-F6150B309E36}"/>
    <hyperlink ref="B160" r:id="rId159" display="https://www.carmag.co.za/car-price-guide-view/volkswagen-amarok-2-0bitdi-double-cab-highline/Vm9sa3N3YWdlbiBBbWFyb2sgMi4wQmlUREkgRG91YmxlIENhYiBIaWdobGluZQ==/?price=799700" xr:uid="{DA77D23B-11E9-4D17-B182-CC074DDECDAA}"/>
    <hyperlink ref="B161" r:id="rId160" display="https://www.carmag.co.za/car-price-guide-view/toyota-land-cruiser-79-4-0-v6-double-cab/VG95b3RhIExhbmQgQ3J1aXNlciA3OSA0LjAgVjYgRG91YmxlIENhYg==/?price=801000" xr:uid="{A9026DE8-9373-40A3-B48E-A0D218692CBC}"/>
    <hyperlink ref="B162" r:id="rId161" display="https://www.carmag.co.za/car-price-guide-view/toyota-hilux-2-8gd-6-double-cab-legend-auto/VG95b3RhIEhpbHV4IDIuOEdELTYgRG91YmxlIENhYiBMZWdlbmQgYXV0bw==/?price=802300" xr:uid="{6A0F4D1D-F902-403A-86CB-0FAD0CC0487B}"/>
    <hyperlink ref="B163" r:id="rId162" display="https://www.carmag.co.za/car-price-guide-view/nissan-navara-2-5ddti-double-cab-pro-4x-4x4/Tmlzc2FuIE5hdmFyYSAyLjVERFRpIERvdWJsZSBDYWIgUFJPLTRYIDR4NA==/?price=812900" xr:uid="{C32BBFF3-8BE4-49E6-9B7E-41A74EB49F63}"/>
    <hyperlink ref="B164" r:id="rId163" display="https://www.carmag.co.za/car-price-guide-view/toyota-hilux-2-8gd-6-double-cab-4x4-legend/VG95b3RhIEhpbHV4IDIuOEdELTYgRG91YmxlIENhYiA0eDQgTGVnZW5k/?price=813900" xr:uid="{0B059D69-F25F-4A71-B551-B415BC4F5DE0}"/>
    <hyperlink ref="B165" r:id="rId164" display="https://www.carmag.co.za/car-price-guide-view/mazda-bt-50-3-0td-double-cab-4x4-individual/TWF6ZGEgQlQtNTAgMy4wVEQgRG91YmxlIENhYiA0eDQgSW5kaXZpZHVhbA==/?price=818400" xr:uid="{6F0E3C49-BA31-470C-A6F9-54763D835EA0}"/>
    <hyperlink ref="B166" r:id="rId165" display="https://www.carmag.co.za/car-price-guide-view/isuzu-d-max-3-0td-double-cab-v-cross-4x4/SXN1enUgRC1NYXggMy4wVEQgRG91YmxlIENhYiBWLUNyb3NzIDR4NA==/?price=835100" xr:uid="{BAC8F657-FB33-4D27-99DF-808E89C661B3}"/>
    <hyperlink ref="B167" r:id="rId166" display="https://www.carmag.co.za/car-price-guide-view/toyota-land-cruiser-79-4-2d-double-cab/VG95b3RhIExhbmQgQ3J1aXNlciA3OSA0LjJEIERvdWJsZSBDYWI=/?price=839500" xr:uid="{7F899A4B-532E-4BD5-B98D-92E6FF91C5AC}"/>
    <hyperlink ref="B168" r:id="rId167" display="https://www.carmag.co.za/car-price-guide-view/toyota-hilux-4-0-v6-double-cab-4x4-legend/VG95b3RhIEhpbHV4IDQuMCBWNiBEb3VibGUgQ2FiIDR4NCBMZWdlbmQ=/?price=849200" xr:uid="{9E5B933B-1760-45A4-ABED-4EEE643932B7}"/>
    <hyperlink ref="B169" r:id="rId168" display="https://www.carmag.co.za/car-price-guide-view/toyota-hilux-2-8gd-6-double-cab-4x4-legend-auto/VG95b3RhIEhpbHV4IDIuOEdELTYgRG91YmxlIENhYiA0eDQgTGVnZW5kIGF1dG8=/?price=849600" xr:uid="{4EEEEE84-6806-4213-84AA-111728B7AA32}"/>
    <hyperlink ref="B170" r:id="rId169" display="https://www.carmag.co.za/car-price-guide-view/toyota-land-cruiser-79-4-5d-4d-single-cab-lx-v8/VG95b3RhIExhbmQgQ3J1aXNlciA3OSA0LjVELTREIFNpbmdsZSBDYWIgTFggVjg=/?price=858500" xr:uid="{78B1DCDA-926B-41F2-9FDE-CCA9372F4C8A}"/>
    <hyperlink ref="B171" r:id="rId170" display="https://www.carmag.co.za/car-price-guide-view/volkswagen-amarok-2-0bitdi-double-cab-highline-4motion-auto/Vm9sa3N3YWdlbiBBbWFyb2sgMi4wQmlUREkgRG91YmxlIENhYiBIaWdobGluZSA0TW90aW9uIGF1dG8=/?price=863900" xr:uid="{D301751A-B853-424E-8D11-590909C18E6F}"/>
    <hyperlink ref="B172" r:id="rId171" display="https://www.carmag.co.za/car-price-guide-view/ford-ranger-2-0-biturbo-double-cab-wildtrak-4x4/Rm9yZCBSYW5nZXIgMi4wIEJpVHVyYm8gRG91YmxlIENhYiBXaWxkdHJhayA0eDQ=/?price=867700" xr:uid="{90AD7B0D-D423-4E23-9343-503787BD3E3B}"/>
    <hyperlink ref="B173" r:id="rId172" display="https://www.carmag.co.za/car-price-guide-view/toyota-hilux-2-8gd-6-double-cab-4x4-gr-sport/VG95b3RhIEhpbHV4IDIuOEdELTYgRG91YmxlIENhYiA0eDQgR1ItU3BvcnQ=/?price=891400" xr:uid="{3C7C30D5-C6E9-4533-B928-7CAA1794F683}"/>
    <hyperlink ref="B174" r:id="rId173" display="https://www.carmag.co.za/car-price-guide-view/toyota-hilux-2-8gd-6-double-cab-legend-rs-auto/VG95b3RhIEhpbHV4IDIuOEdELTYgRG91YmxlIENhYiBMZWdlbmQgUlMgYXV0bw==/?price=895000" xr:uid="{3AC9B23D-88EA-4388-A231-D51BB60D8BE3}"/>
    <hyperlink ref="B175" r:id="rId174" display="https://www.carmag.co.za/car-price-guide-view/toyota-hilux-2-8gd-6-double-cab-4x4-legend-rs/VG95b3RhIEhpbHV4IDIuOEdELTYgRG91YmxlIENhYiA0eDQgTGVnZW5kIFJT/?price=909600" xr:uid="{453FD895-C7C0-4DCB-97D0-FC9200B47C2B}"/>
    <hyperlink ref="B176" r:id="rId175" display="https://www.carmag.co.za/car-price-guide-view/toyota-land-cruiser-79-4-5d-4d-lx-v8-double-cab/VG95b3RhIExhbmQgQ3J1aXNlciA3OSA0LjVELTREIExYIFY4IERvdWJsZSBDYWI=/?price=941200" xr:uid="{1FBFD4AB-3231-4484-BE15-47C5F22419FA}"/>
    <hyperlink ref="B177" r:id="rId176" display="https://www.carmag.co.za/car-price-guide-view/toyota-hilux-2-8gd-6-double-cab-4x4-legend-rs-auto/VG95b3RhIEhpbHV4IDIuOEdELTYgRG91YmxlIENhYiA0eDQgTGVnZW5kIFJTIGF1dG8=/?price=945400" xr:uid="{7BC09D34-E632-4DBB-AC4B-30D3BA4D111F}"/>
    <hyperlink ref="B178" r:id="rId177" display="https://www.carmag.co.za/car-price-guide-view/ford-ranger-3-0-v6-double-cab-wildtrak-4wd/Rm9yZCBSYW5nZXIgMy4wIFY2IERvdWJsZSBDYWIgV2lsZHRyYWsgNFdE/?price=953500" xr:uid="{44DE01C7-F125-4CBB-BC90-881A11E6473A}"/>
    <hyperlink ref="B179" r:id="rId178" display="https://www.carmag.co.za/car-price-guide-view/volkswagen-amarok-3-0-v6-tdi-double-cab-highline-4motion/Vm9sa3N3YWdlbiBBbWFyb2sgMy4wIFY2IFRESSBEb3VibGUgQ2FiIEhpZ2hsaW5lIDRNb3Rpb24=/?price=1025100" xr:uid="{53780856-F1C6-499F-8DF0-6212D575E7AF}"/>
    <hyperlink ref="B180" r:id="rId179" display="https://www.carmag.co.za/car-price-guide-view/ford-ranger-3-0-v6-ecoboost-double-cab-raptor-4wd/Rm9yZCBSYW5nZXIgMy4wIFY2IEVjb0Jvb3N0IERvdWJsZSBDYWIgUmFwdG9yIDRXRA==/?price=1094900" xr:uid="{7D609362-0CAC-4014-BE82-B3D369B1F8B7}"/>
    <hyperlink ref="B181" r:id="rId180" display="https://www.carmag.co.za/car-price-guide-view/volkswagen-amarok-3-0-v6-tdi-double-cab-extreme-4motion/Vm9sa3N3YWdlbiBBbWFyb2sgMy4wIFY2IFRESSBEb3VibGUgQ2FiIEV4dHJlbWUgNE1vdGlvbg==/?price=1118200" xr:uid="{D672F05C-B11C-4FE6-8FF0-AB8738684A8B}"/>
    <hyperlink ref="B182" r:id="rId181" display="https://www.carmag.co.za/car-price-guide-view/jeep-gladiator-3-6-rubicon-double-cab/SmVlcCBHbGFkaWF0b3IgMy42IFJ1Ymljb24gRG91YmxlIENhYg==/?price=1329900" xr:uid="{F9ECCEAD-6364-4C14-9960-75F482F1C4AE}"/>
  </hyperlinks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D097-83E7-4C1F-8FB4-4B6EC213C9A7}">
  <dimension ref="B2:C7"/>
  <sheetViews>
    <sheetView tabSelected="1" workbookViewId="0">
      <selection activeCell="C8" sqref="C8"/>
    </sheetView>
  </sheetViews>
  <sheetFormatPr defaultRowHeight="14.5" x14ac:dyDescent="0.35"/>
  <cols>
    <col min="2" max="2" width="29.7265625" customWidth="1"/>
  </cols>
  <sheetData>
    <row r="2" spans="2:3" x14ac:dyDescent="0.35">
      <c r="B2" t="s">
        <v>1310</v>
      </c>
      <c r="C2">
        <v>92</v>
      </c>
    </row>
    <row r="3" spans="2:3" x14ac:dyDescent="0.35">
      <c r="B3" t="s">
        <v>1311</v>
      </c>
      <c r="C3">
        <v>353</v>
      </c>
    </row>
    <row r="4" spans="2:3" x14ac:dyDescent="0.35">
      <c r="B4" t="s">
        <v>1312</v>
      </c>
      <c r="C4">
        <v>90</v>
      </c>
    </row>
    <row r="5" spans="2:3" x14ac:dyDescent="0.35">
      <c r="B5" t="s">
        <v>1313</v>
      </c>
      <c r="C5">
        <v>600</v>
      </c>
    </row>
    <row r="6" spans="2:3" x14ac:dyDescent="0.35">
      <c r="B6" t="s">
        <v>1314</v>
      </c>
      <c r="C6">
        <v>181</v>
      </c>
    </row>
    <row r="7" spans="2:3" x14ac:dyDescent="0.35">
      <c r="C7">
        <f>SUM(C2:C6)</f>
        <v>1316</v>
      </c>
    </row>
  </sheetData>
  <pageMargins left="0.7" right="0.7" top="0.75" bottom="0.75" header="0.3" footer="0.3"/>
  <headerFooter>
    <oddFooter>&amp;L_x000D_&amp;1#&amp;"Aptos"&amp;10&amp;K000000 Information Classification: Confidential</oddFooter>
  </headerFooter>
</worksheet>
</file>

<file path=docMetadata/LabelInfo.xml><?xml version="1.0" encoding="utf-8"?>
<clbl:labelList xmlns:clbl="http://schemas.microsoft.com/office/2020/mipLabelMetadata">
  <clbl:label id="{c88c86ba-f81a-4a46-ac84-ec5c093666ee}" enabled="1" method="Standard" siteId="{0aa5f8d3-0c2b-4474-bf06-16b3ccf9ba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Passenger Cars - Manual</vt:lpstr>
      <vt:lpstr>Passenger Cars Automatic</vt:lpstr>
      <vt:lpstr>Estates and MPV's</vt:lpstr>
      <vt:lpstr>Cross Overs and SUV's</vt:lpstr>
      <vt:lpstr>Pick-Ups</vt:lpstr>
      <vt:lpstr>Totals</vt:lpstr>
    </vt:vector>
  </TitlesOfParts>
  <Company>Aldermore Group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Thompson</dc:creator>
  <cp:lastModifiedBy>Mark Thompson</cp:lastModifiedBy>
  <dcterms:created xsi:type="dcterms:W3CDTF">2026-02-25T19:28:32Z</dcterms:created>
  <dcterms:modified xsi:type="dcterms:W3CDTF">2026-02-25T20:26:31Z</dcterms:modified>
</cp:coreProperties>
</file>